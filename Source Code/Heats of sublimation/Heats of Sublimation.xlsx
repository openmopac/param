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Heats of Vaporization" sheetId="1" r:id="rId1"/>
  </sheets>
  <calcPr calcId="125725"/>
</workbook>
</file>

<file path=xl/calcChain.xml><?xml version="1.0" encoding="utf-8"?>
<calcChain xmlns="http://schemas.openxmlformats.org/spreadsheetml/2006/main">
  <c r="M32" i="1"/>
  <c r="N32" s="1"/>
  <c r="O32" s="1"/>
  <c r="G32"/>
  <c r="H32" s="1"/>
  <c r="I32" s="1"/>
  <c r="Y6"/>
  <c r="Y8"/>
  <c r="Y9"/>
  <c r="Y10"/>
  <c r="Y11"/>
  <c r="Y12"/>
  <c r="Y13"/>
  <c r="Y14"/>
  <c r="Y15"/>
  <c r="Y16"/>
  <c r="Y17"/>
  <c r="Y18"/>
  <c r="Y19"/>
  <c r="Y21"/>
  <c r="Y25"/>
  <c r="Y33"/>
  <c r="Y34"/>
  <c r="Y35"/>
  <c r="Y37"/>
  <c r="Y38"/>
  <c r="Y39"/>
  <c r="Y20"/>
  <c r="Y36"/>
  <c r="Y4"/>
  <c r="Y7"/>
  <c r="Y22"/>
  <c r="Y23"/>
  <c r="Y24"/>
  <c r="Y26"/>
  <c r="Y27"/>
  <c r="Y28"/>
  <c r="Y29"/>
  <c r="Y30"/>
  <c r="Y31"/>
  <c r="Y5"/>
  <c r="G31"/>
  <c r="H31"/>
  <c r="I31" s="1"/>
  <c r="G30"/>
  <c r="H30"/>
  <c r="I30" s="1"/>
  <c r="G29"/>
  <c r="H29" s="1"/>
  <c r="I29" s="1"/>
  <c r="G28"/>
  <c r="H28" s="1"/>
  <c r="I28" s="1"/>
  <c r="G27"/>
  <c r="H27" s="1"/>
  <c r="I27" s="1"/>
  <c r="G26"/>
  <c r="H26" s="1"/>
  <c r="I26" s="1"/>
  <c r="G24"/>
  <c r="H24" s="1"/>
  <c r="I24" s="1"/>
  <c r="M22"/>
  <c r="N22" s="1"/>
  <c r="O22" s="1"/>
  <c r="M23"/>
  <c r="N23" s="1"/>
  <c r="O23" s="1"/>
  <c r="M24"/>
  <c r="N24" s="1"/>
  <c r="O24" s="1"/>
  <c r="M26"/>
  <c r="N26" s="1"/>
  <c r="O26" s="1"/>
  <c r="M27"/>
  <c r="N27" s="1"/>
  <c r="O27" s="1"/>
  <c r="M28"/>
  <c r="N28" s="1"/>
  <c r="O28" s="1"/>
  <c r="M29"/>
  <c r="N29" s="1"/>
  <c r="O29" s="1"/>
  <c r="M30"/>
  <c r="N30" s="1"/>
  <c r="O30" s="1"/>
  <c r="M31"/>
  <c r="N31" s="1"/>
  <c r="O31" s="1"/>
  <c r="G23"/>
  <c r="H23" s="1"/>
  <c r="I23" s="1"/>
  <c r="G21"/>
  <c r="M25"/>
  <c r="N25" s="1"/>
  <c r="O25" s="1"/>
  <c r="G25"/>
  <c r="H25" s="1"/>
  <c r="I25" s="1"/>
  <c r="M34"/>
  <c r="N34" s="1"/>
  <c r="O34" s="1"/>
  <c r="M12"/>
  <c r="N12" s="1"/>
  <c r="O12" s="1"/>
  <c r="M37"/>
  <c r="N37" s="1"/>
  <c r="O37" s="1"/>
  <c r="M10"/>
  <c r="N10" s="1"/>
  <c r="O10" s="1"/>
  <c r="M19"/>
  <c r="N19" s="1"/>
  <c r="O19" s="1"/>
  <c r="M39"/>
  <c r="N39" s="1"/>
  <c r="O39" s="1"/>
  <c r="M5"/>
  <c r="N5" s="1"/>
  <c r="O5" s="1"/>
  <c r="M11"/>
  <c r="N11" s="1"/>
  <c r="O11" s="1"/>
  <c r="M33"/>
  <c r="N33" s="1"/>
  <c r="O33" s="1"/>
  <c r="M35"/>
  <c r="N35" s="1"/>
  <c r="O35" s="1"/>
  <c r="M38"/>
  <c r="N38" s="1"/>
  <c r="O38" s="1"/>
  <c r="G34"/>
  <c r="H34" s="1"/>
  <c r="I34" s="1"/>
  <c r="G12"/>
  <c r="H12" s="1"/>
  <c r="I12" s="1"/>
  <c r="G37"/>
  <c r="H37" s="1"/>
  <c r="I37" s="1"/>
  <c r="G10"/>
  <c r="H10" s="1"/>
  <c r="I10" s="1"/>
  <c r="G19"/>
  <c r="H19" s="1"/>
  <c r="I19" s="1"/>
  <c r="G39"/>
  <c r="H39" s="1"/>
  <c r="I39" s="1"/>
  <c r="G5"/>
  <c r="H5" s="1"/>
  <c r="I5" s="1"/>
  <c r="G11"/>
  <c r="H11" s="1"/>
  <c r="I11" s="1"/>
  <c r="G33"/>
  <c r="H33" s="1"/>
  <c r="I33" s="1"/>
  <c r="G35"/>
  <c r="H35" s="1"/>
  <c r="I35" s="1"/>
  <c r="G38"/>
  <c r="H38" s="1"/>
  <c r="I38" s="1"/>
  <c r="G22" l="1"/>
  <c r="H22" s="1"/>
  <c r="I22" s="1"/>
  <c r="M21"/>
  <c r="N21" s="1"/>
  <c r="O21" s="1"/>
  <c r="H21"/>
  <c r="I21" s="1"/>
  <c r="M20"/>
  <c r="N20" s="1"/>
  <c r="O20" s="1"/>
  <c r="G20"/>
  <c r="H20" s="1"/>
  <c r="I20" s="1"/>
  <c r="M18"/>
  <c r="N18" s="1"/>
  <c r="O18" s="1"/>
  <c r="G18"/>
  <c r="H18" s="1"/>
  <c r="I18" s="1"/>
  <c r="M17"/>
  <c r="N17" s="1"/>
  <c r="O17" s="1"/>
  <c r="G17"/>
  <c r="H17" s="1"/>
  <c r="I17" s="1"/>
  <c r="M16"/>
  <c r="N16" s="1"/>
  <c r="O16" s="1"/>
  <c r="G16"/>
  <c r="H16" s="1"/>
  <c r="M15"/>
  <c r="N15" s="1"/>
  <c r="O15" s="1"/>
  <c r="G15"/>
  <c r="H15" s="1"/>
  <c r="I15" s="1"/>
  <c r="M4"/>
  <c r="N4" s="1"/>
  <c r="O4" s="1"/>
  <c r="M6"/>
  <c r="N6" s="1"/>
  <c r="O6" s="1"/>
  <c r="M7"/>
  <c r="N7" s="1"/>
  <c r="O7" s="1"/>
  <c r="M8"/>
  <c r="N8" s="1"/>
  <c r="O8" s="1"/>
  <c r="M9"/>
  <c r="N9" s="1"/>
  <c r="O9" s="1"/>
  <c r="M13"/>
  <c r="N13" s="1"/>
  <c r="O13" s="1"/>
  <c r="M14"/>
  <c r="N14" s="1"/>
  <c r="O14" s="1"/>
  <c r="G6"/>
  <c r="H6" s="1"/>
  <c r="I6" s="1"/>
  <c r="G7"/>
  <c r="H7" s="1"/>
  <c r="I7" s="1"/>
  <c r="G8"/>
  <c r="H8" s="1"/>
  <c r="I8" s="1"/>
  <c r="G9"/>
  <c r="H9" s="1"/>
  <c r="I9" s="1"/>
  <c r="G13"/>
  <c r="H13" s="1"/>
  <c r="I13" s="1"/>
  <c r="G14"/>
  <c r="H14" s="1"/>
  <c r="I14" s="1"/>
  <c r="G4"/>
  <c r="H4" s="1"/>
  <c r="I4" s="1"/>
  <c r="G36"/>
  <c r="H36" s="1"/>
  <c r="I36" s="1"/>
  <c r="M36"/>
  <c r="N36" s="1"/>
  <c r="O36" s="1"/>
  <c r="O40" l="1"/>
  <c r="I16"/>
  <c r="I40" s="1"/>
</calcChain>
</file>

<file path=xl/sharedStrings.xml><?xml version="1.0" encoding="utf-8"?>
<sst xmlns="http://schemas.openxmlformats.org/spreadsheetml/2006/main" count="63" uniqueCount="57">
  <si>
    <t>Ref</t>
  </si>
  <si>
    <t>Molecule</t>
  </si>
  <si>
    <t>Chemical</t>
  </si>
  <si>
    <t>Solid</t>
  </si>
  <si>
    <t>Hexamethylbenzene</t>
  </si>
  <si>
    <t xml:space="preserve">Naphthalene           </t>
  </si>
  <si>
    <t xml:space="preserve">Benzoic acid          </t>
  </si>
  <si>
    <t xml:space="preserve">Water                 </t>
  </si>
  <si>
    <t xml:space="preserve">Pyrene                </t>
  </si>
  <si>
    <t xml:space="preserve">Thymine               </t>
  </si>
  <si>
    <t xml:space="preserve">Adamantane            </t>
  </si>
  <si>
    <t xml:space="preserve">Alanine               </t>
  </si>
  <si>
    <t xml:space="preserve">Tyrosine              </t>
  </si>
  <si>
    <t>Glycine</t>
  </si>
  <si>
    <t>Oxalic acid</t>
  </si>
  <si>
    <r>
      <t>PM7</t>
    </r>
    <r>
      <rPr>
        <sz val="11"/>
        <color theme="1"/>
        <rFont val="Symbol"/>
        <family val="1"/>
        <charset val="2"/>
      </rPr>
      <t xml:space="preserve"> D</t>
    </r>
    <r>
      <rPr>
        <sz val="11"/>
        <color theme="1"/>
        <rFont val="Calibri"/>
        <family val="2"/>
        <scheme val="minor"/>
      </rPr>
      <t>H</t>
    </r>
    <r>
      <rPr>
        <sz val="10"/>
        <color theme="1"/>
        <rFont val="Calibri"/>
        <family val="2"/>
        <scheme val="minor"/>
      </rPr>
      <t>f</t>
    </r>
  </si>
  <si>
    <r>
      <t>PM6</t>
    </r>
    <r>
      <rPr>
        <sz val="11"/>
        <color theme="1"/>
        <rFont val="Symbol"/>
        <family val="1"/>
        <charset val="2"/>
      </rPr>
      <t xml:space="preserve"> D</t>
    </r>
    <r>
      <rPr>
        <sz val="11"/>
        <color theme="1"/>
        <rFont val="Calibri"/>
        <family val="2"/>
        <scheme val="minor"/>
      </rPr>
      <t>H</t>
    </r>
    <r>
      <rPr>
        <sz val="10"/>
        <color theme="1"/>
        <rFont val="Calibri"/>
        <family val="2"/>
        <scheme val="minor"/>
      </rPr>
      <t>f</t>
    </r>
  </si>
  <si>
    <t xml:space="preserve">PM7 </t>
  </si>
  <si>
    <t xml:space="preserve"> Error</t>
  </si>
  <si>
    <t xml:space="preserve">|PM7| </t>
  </si>
  <si>
    <r>
      <t>PM6</t>
    </r>
    <r>
      <rPr>
        <sz val="11"/>
        <color theme="1"/>
        <rFont val="Symbol"/>
        <family val="1"/>
        <charset val="2"/>
      </rPr>
      <t xml:space="preserve"> </t>
    </r>
  </si>
  <si>
    <t xml:space="preserve">PM6 </t>
  </si>
  <si>
    <t>Error</t>
  </si>
  <si>
    <t xml:space="preserve">|PM6| </t>
  </si>
  <si>
    <t>Ferrocene</t>
  </si>
  <si>
    <r>
      <t xml:space="preserve"> 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Hs</t>
    </r>
  </si>
  <si>
    <r>
      <rPr>
        <sz val="11"/>
        <color theme="1"/>
        <rFont val="Symbol"/>
        <family val="1"/>
        <charset val="2"/>
      </rPr>
      <t xml:space="preserve"> D</t>
    </r>
    <r>
      <rPr>
        <sz val="11"/>
        <color theme="1"/>
        <rFont val="Calibri"/>
        <family val="2"/>
        <scheme val="minor"/>
      </rPr>
      <t>Hs</t>
    </r>
  </si>
  <si>
    <t>Iodine</t>
  </si>
  <si>
    <t>Carbon dioxide</t>
  </si>
  <si>
    <t>Iodoform</t>
  </si>
  <si>
    <t>Methane</t>
  </si>
  <si>
    <t>Urea</t>
  </si>
  <si>
    <t>Propane</t>
  </si>
  <si>
    <t>Maleic anhydride</t>
  </si>
  <si>
    <t>Uracil</t>
  </si>
  <si>
    <t>2-Aminopyridine</t>
  </si>
  <si>
    <t>3-Aminopyridine</t>
  </si>
  <si>
    <t>4-Aminopyridine</t>
  </si>
  <si>
    <t>Methionine</t>
  </si>
  <si>
    <t>n-pentane</t>
  </si>
  <si>
    <t>Hexachlorobenzene</t>
  </si>
  <si>
    <t>Benzene</t>
  </si>
  <si>
    <t>#C</t>
  </si>
  <si>
    <t>#H</t>
  </si>
  <si>
    <t>#N</t>
  </si>
  <si>
    <t>#O</t>
  </si>
  <si>
    <t>Score</t>
  </si>
  <si>
    <t>Hexafluorobenzene</t>
  </si>
  <si>
    <t>2,4,6 Tribromoaniline</t>
  </si>
  <si>
    <t>4-Nitroaniline</t>
  </si>
  <si>
    <t>2-Aminophenol</t>
  </si>
  <si>
    <t>3-Aminophenol</t>
  </si>
  <si>
    <t>4-Aminophenol</t>
  </si>
  <si>
    <t>Cyclohexane</t>
  </si>
  <si>
    <t>4-Fluorobenzoic acid</t>
  </si>
  <si>
    <t>Averages:</t>
  </si>
  <si>
    <t>4-Chlorobenzoic acid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</si>
</sst>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2" fontId="0" fillId="0" borderId="0" xfId="0" applyNumberFormat="1" applyFont="1"/>
    <xf numFmtId="2" fontId="0" fillId="0" borderId="0" xfId="0" applyNumberFormat="1" applyFont="1" applyAlignment="1">
      <alignment horizontal="center"/>
    </xf>
    <xf numFmtId="0" fontId="0" fillId="0" borderId="0" xfId="0" applyFont="1"/>
    <xf numFmtId="164" fontId="0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2" xfId="0" applyNumberFormat="1" applyFont="1" applyBorder="1" applyAlignment="1">
      <alignment horizontal="center"/>
    </xf>
    <xf numFmtId="0" fontId="0" fillId="0" borderId="2" xfId="0" applyFont="1" applyBorder="1"/>
    <xf numFmtId="164" fontId="0" fillId="0" borderId="2" xfId="0" applyNumberFormat="1" applyFont="1" applyBorder="1" applyAlignment="1">
      <alignment horizontal="center"/>
    </xf>
    <xf numFmtId="2" fontId="0" fillId="0" borderId="1" xfId="0" applyNumberFormat="1" applyFont="1" applyBorder="1"/>
    <xf numFmtId="2" fontId="0" fillId="0" borderId="2" xfId="0" applyNumberFormat="1" applyFont="1" applyBorder="1"/>
    <xf numFmtId="2" fontId="0" fillId="0" borderId="3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Y40"/>
  <sheetViews>
    <sheetView tabSelected="1" workbookViewId="0">
      <selection activeCell="C4" sqref="C4"/>
    </sheetView>
  </sheetViews>
  <sheetFormatPr defaultRowHeight="15"/>
  <cols>
    <col min="1" max="1" width="9.140625" style="2"/>
    <col min="2" max="2" width="20.7109375" style="2" customWidth="1"/>
    <col min="3" max="3" width="8.28515625" style="2" customWidth="1"/>
    <col min="4" max="4" width="10.140625" style="2" customWidth="1"/>
    <col min="5" max="5" width="9.140625" style="3"/>
    <col min="6" max="8" width="9.140625" style="2"/>
    <col min="9" max="9" width="8.28515625" style="2" customWidth="1"/>
    <col min="10" max="14" width="9.140625" style="2"/>
    <col min="15" max="15" width="10" style="2" customWidth="1"/>
    <col min="16" max="18" width="9.140625" style="2"/>
    <col min="19" max="25" width="9.140625" style="6"/>
    <col min="26" max="16384" width="9.140625" style="2"/>
  </cols>
  <sheetData>
    <row r="1" spans="2:25">
      <c r="E1" s="8"/>
    </row>
    <row r="2" spans="2:25">
      <c r="B2" s="15"/>
      <c r="C2" s="9" t="s">
        <v>0</v>
      </c>
      <c r="D2" s="10"/>
      <c r="E2" s="18" t="s">
        <v>15</v>
      </c>
      <c r="F2" s="19"/>
      <c r="G2" s="9" t="s">
        <v>17</v>
      </c>
      <c r="H2" s="9" t="s">
        <v>17</v>
      </c>
      <c r="I2" s="9" t="s">
        <v>19</v>
      </c>
      <c r="J2" s="10"/>
      <c r="K2" s="18" t="s">
        <v>16</v>
      </c>
      <c r="L2" s="19"/>
      <c r="M2" s="9" t="s">
        <v>20</v>
      </c>
      <c r="N2" s="9" t="s">
        <v>21</v>
      </c>
      <c r="O2" s="9" t="s">
        <v>23</v>
      </c>
      <c r="S2" s="7" t="s">
        <v>42</v>
      </c>
      <c r="T2" s="7" t="s">
        <v>43</v>
      </c>
      <c r="U2" s="7" t="s">
        <v>44</v>
      </c>
      <c r="V2" s="7" t="s">
        <v>45</v>
      </c>
      <c r="Y2" s="7" t="s">
        <v>46</v>
      </c>
    </row>
    <row r="3" spans="2:25">
      <c r="B3" s="16" t="s">
        <v>2</v>
      </c>
      <c r="C3" s="11" t="s">
        <v>25</v>
      </c>
      <c r="D3" s="12"/>
      <c r="E3" s="12" t="s">
        <v>1</v>
      </c>
      <c r="F3" s="12" t="s">
        <v>3</v>
      </c>
      <c r="G3" s="11" t="s">
        <v>25</v>
      </c>
      <c r="H3" s="11" t="s">
        <v>18</v>
      </c>
      <c r="I3" s="11" t="s">
        <v>18</v>
      </c>
      <c r="J3" s="12"/>
      <c r="K3" s="12" t="s">
        <v>1</v>
      </c>
      <c r="L3" s="12" t="s">
        <v>3</v>
      </c>
      <c r="M3" s="11" t="s">
        <v>26</v>
      </c>
      <c r="N3" s="11" t="s">
        <v>22</v>
      </c>
      <c r="O3" s="11" t="s">
        <v>18</v>
      </c>
    </row>
    <row r="4" spans="2:25">
      <c r="B4" s="1" t="s">
        <v>27</v>
      </c>
      <c r="C4" s="5">
        <v>14.9</v>
      </c>
      <c r="D4" s="5"/>
      <c r="E4" s="5">
        <v>13.5</v>
      </c>
      <c r="F4" s="5">
        <v>-0.3</v>
      </c>
      <c r="G4" s="5">
        <f t="shared" ref="G4:G39" si="0">E4-F4</f>
        <v>13.8</v>
      </c>
      <c r="H4" s="5">
        <f t="shared" ref="H4:H39" si="1">G4-C4</f>
        <v>-1.0999999999999996</v>
      </c>
      <c r="I4" s="5">
        <f t="shared" ref="I4:I39" si="2">ABS(H4)</f>
        <v>1.0999999999999996</v>
      </c>
      <c r="J4" s="5"/>
      <c r="K4" s="5">
        <v>13.3</v>
      </c>
      <c r="L4" s="5">
        <v>-35.4</v>
      </c>
      <c r="M4" s="5">
        <f t="shared" ref="M4:M39" si="3">K4-L4</f>
        <v>48.7</v>
      </c>
      <c r="N4" s="5">
        <f t="shared" ref="N4:N39" si="4">M4-C4</f>
        <v>33.800000000000004</v>
      </c>
      <c r="O4" s="5">
        <f t="shared" ref="O4:O39" si="5">ABS(N4)</f>
        <v>33.800000000000004</v>
      </c>
      <c r="S4" s="6">
        <v>0</v>
      </c>
      <c r="T4" s="6">
        <v>0</v>
      </c>
      <c r="U4" s="6">
        <v>0</v>
      </c>
      <c r="V4" s="6">
        <v>0</v>
      </c>
      <c r="W4" s="6">
        <v>2</v>
      </c>
      <c r="Y4" s="6">
        <f t="shared" ref="Y4:Y39" si="6">W4+7*(V4+5*(U4 +3*(T4+20*(S4))))</f>
        <v>2</v>
      </c>
    </row>
    <row r="5" spans="2:25">
      <c r="B5" s="4" t="s">
        <v>7</v>
      </c>
      <c r="C5" s="5">
        <v>11.900000000000006</v>
      </c>
      <c r="D5" s="5"/>
      <c r="E5" s="5">
        <v>-57.8</v>
      </c>
      <c r="F5" s="5">
        <v>-74.7</v>
      </c>
      <c r="G5" s="5">
        <f t="shared" si="0"/>
        <v>16.900000000000006</v>
      </c>
      <c r="H5" s="5">
        <f t="shared" si="1"/>
        <v>5</v>
      </c>
      <c r="I5" s="5">
        <f t="shared" si="2"/>
        <v>5</v>
      </c>
      <c r="J5" s="5"/>
      <c r="K5" s="5">
        <v>-54.3</v>
      </c>
      <c r="L5" s="5">
        <v>-64.599999999999994</v>
      </c>
      <c r="M5" s="5">
        <f t="shared" si="3"/>
        <v>10.299999999999997</v>
      </c>
      <c r="N5" s="5">
        <f t="shared" si="4"/>
        <v>-1.6000000000000085</v>
      </c>
      <c r="O5" s="5">
        <f t="shared" si="5"/>
        <v>1.6000000000000085</v>
      </c>
      <c r="S5" s="6">
        <v>0</v>
      </c>
      <c r="T5" s="6">
        <v>2</v>
      </c>
      <c r="U5" s="6">
        <v>0</v>
      </c>
      <c r="V5" s="6">
        <v>1</v>
      </c>
      <c r="W5" s="6">
        <v>0</v>
      </c>
      <c r="Y5" s="6">
        <f t="shared" si="6"/>
        <v>217</v>
      </c>
    </row>
    <row r="6" spans="2:25">
      <c r="B6" s="1" t="s">
        <v>28</v>
      </c>
      <c r="C6" s="5">
        <v>6.2</v>
      </c>
      <c r="D6" s="5"/>
      <c r="E6" s="5">
        <v>-84.5</v>
      </c>
      <c r="F6" s="5">
        <v>-89</v>
      </c>
      <c r="G6" s="5">
        <f t="shared" si="0"/>
        <v>4.5</v>
      </c>
      <c r="H6" s="5">
        <f t="shared" si="1"/>
        <v>-1.7000000000000002</v>
      </c>
      <c r="I6" s="5">
        <f t="shared" si="2"/>
        <v>1.7000000000000002</v>
      </c>
      <c r="J6" s="5"/>
      <c r="K6" s="5">
        <v>-84.8</v>
      </c>
      <c r="L6" s="5">
        <v>-86.7</v>
      </c>
      <c r="M6" s="5">
        <f t="shared" si="3"/>
        <v>1.9000000000000057</v>
      </c>
      <c r="N6" s="5">
        <f t="shared" si="4"/>
        <v>-4.2999999999999945</v>
      </c>
      <c r="O6" s="5">
        <f t="shared" si="5"/>
        <v>4.2999999999999945</v>
      </c>
      <c r="S6" s="6">
        <v>1</v>
      </c>
      <c r="T6" s="6">
        <v>0</v>
      </c>
      <c r="U6" s="6">
        <v>0</v>
      </c>
      <c r="V6" s="6">
        <v>2</v>
      </c>
      <c r="W6" s="6">
        <v>0</v>
      </c>
      <c r="Y6" s="6">
        <f t="shared" si="6"/>
        <v>2114</v>
      </c>
    </row>
    <row r="7" spans="2:25">
      <c r="B7" s="1" t="s">
        <v>29</v>
      </c>
      <c r="C7" s="5">
        <v>16.7</v>
      </c>
      <c r="D7" s="5"/>
      <c r="E7" s="5">
        <v>50.4</v>
      </c>
      <c r="F7" s="5">
        <v>32.299999999999997</v>
      </c>
      <c r="G7" s="5">
        <f t="shared" si="0"/>
        <v>18.100000000000001</v>
      </c>
      <c r="H7" s="5">
        <f t="shared" si="1"/>
        <v>1.4000000000000021</v>
      </c>
      <c r="I7" s="5">
        <f t="shared" si="2"/>
        <v>1.4000000000000021</v>
      </c>
      <c r="J7" s="5"/>
      <c r="K7" s="5">
        <v>54.3</v>
      </c>
      <c r="L7" s="5">
        <v>20</v>
      </c>
      <c r="M7" s="5">
        <f t="shared" si="3"/>
        <v>34.299999999999997</v>
      </c>
      <c r="N7" s="5">
        <f t="shared" si="4"/>
        <v>17.599999999999998</v>
      </c>
      <c r="O7" s="5">
        <f t="shared" si="5"/>
        <v>17.599999999999998</v>
      </c>
      <c r="S7" s="6">
        <v>1</v>
      </c>
      <c r="T7" s="6">
        <v>1</v>
      </c>
      <c r="U7" s="6">
        <v>0</v>
      </c>
      <c r="V7" s="6">
        <v>0</v>
      </c>
      <c r="W7" s="6">
        <v>2</v>
      </c>
      <c r="Y7" s="6">
        <f t="shared" si="6"/>
        <v>2207</v>
      </c>
    </row>
    <row r="8" spans="2:25">
      <c r="B8" s="1" t="s">
        <v>30</v>
      </c>
      <c r="C8" s="5">
        <v>2.2999999999999998</v>
      </c>
      <c r="D8" s="5"/>
      <c r="E8" s="5">
        <v>-14.4</v>
      </c>
      <c r="F8" s="5">
        <v>-17.5</v>
      </c>
      <c r="G8" s="5">
        <f t="shared" si="0"/>
        <v>3.0999999999999996</v>
      </c>
      <c r="H8" s="5">
        <f t="shared" si="1"/>
        <v>0.79999999999999982</v>
      </c>
      <c r="I8" s="5">
        <f t="shared" si="2"/>
        <v>0.79999999999999982</v>
      </c>
      <c r="J8" s="5"/>
      <c r="K8" s="5">
        <v>-12.3</v>
      </c>
      <c r="L8" s="5">
        <v>-12.9</v>
      </c>
      <c r="M8" s="5">
        <f t="shared" si="3"/>
        <v>0.59999999999999964</v>
      </c>
      <c r="N8" s="5">
        <f t="shared" si="4"/>
        <v>-1.7000000000000002</v>
      </c>
      <c r="O8" s="5">
        <f t="shared" si="5"/>
        <v>1.7000000000000002</v>
      </c>
      <c r="S8" s="6">
        <v>1</v>
      </c>
      <c r="T8" s="6">
        <v>4</v>
      </c>
      <c r="U8" s="6">
        <v>0</v>
      </c>
      <c r="V8" s="6">
        <v>0</v>
      </c>
      <c r="W8" s="6">
        <v>0</v>
      </c>
      <c r="Y8" s="6">
        <f t="shared" si="6"/>
        <v>2520</v>
      </c>
    </row>
    <row r="9" spans="2:25">
      <c r="B9" s="1" t="s">
        <v>31</v>
      </c>
      <c r="C9" s="5">
        <v>21.7</v>
      </c>
      <c r="D9" s="5"/>
      <c r="E9" s="5">
        <v>-51.1</v>
      </c>
      <c r="F9" s="5">
        <v>-77.599999999999994</v>
      </c>
      <c r="G9" s="5">
        <f t="shared" si="0"/>
        <v>26.499999999999993</v>
      </c>
      <c r="H9" s="5">
        <f t="shared" si="1"/>
        <v>4.7999999999999936</v>
      </c>
      <c r="I9" s="5">
        <f t="shared" si="2"/>
        <v>4.7999999999999936</v>
      </c>
      <c r="J9" s="5"/>
      <c r="K9" s="5">
        <v>-48.2</v>
      </c>
      <c r="L9" s="5">
        <v>-65.7</v>
      </c>
      <c r="M9" s="5">
        <f t="shared" si="3"/>
        <v>17.5</v>
      </c>
      <c r="N9" s="5">
        <f t="shared" si="4"/>
        <v>-4.1999999999999993</v>
      </c>
      <c r="O9" s="5">
        <f t="shared" si="5"/>
        <v>4.1999999999999993</v>
      </c>
      <c r="S9" s="6">
        <v>1</v>
      </c>
      <c r="T9" s="6">
        <v>4</v>
      </c>
      <c r="U9" s="6">
        <v>2</v>
      </c>
      <c r="V9" s="6">
        <v>1</v>
      </c>
      <c r="W9" s="6">
        <v>0</v>
      </c>
      <c r="Y9" s="6">
        <f t="shared" si="6"/>
        <v>2597</v>
      </c>
    </row>
    <row r="10" spans="2:25">
      <c r="B10" s="4" t="s">
        <v>14</v>
      </c>
      <c r="C10" s="5">
        <v>23.099999999999994</v>
      </c>
      <c r="D10" s="5"/>
      <c r="E10" s="5">
        <v>-166.3</v>
      </c>
      <c r="F10" s="5">
        <v>-190.4</v>
      </c>
      <c r="G10" s="5">
        <f t="shared" si="0"/>
        <v>24.099999999999994</v>
      </c>
      <c r="H10" s="5">
        <f t="shared" si="1"/>
        <v>1</v>
      </c>
      <c r="I10" s="5">
        <f t="shared" si="2"/>
        <v>1</v>
      </c>
      <c r="J10" s="5"/>
      <c r="K10" s="5">
        <v>-156.30000000000001</v>
      </c>
      <c r="L10" s="5">
        <v>-175.8</v>
      </c>
      <c r="M10" s="5">
        <f t="shared" si="3"/>
        <v>19.5</v>
      </c>
      <c r="N10" s="5">
        <f t="shared" si="4"/>
        <v>-3.5999999999999943</v>
      </c>
      <c r="O10" s="5">
        <f t="shared" si="5"/>
        <v>3.5999999999999943</v>
      </c>
      <c r="S10" s="6">
        <v>2</v>
      </c>
      <c r="T10" s="6">
        <v>2</v>
      </c>
      <c r="U10" s="6">
        <v>0</v>
      </c>
      <c r="V10" s="6">
        <v>4</v>
      </c>
      <c r="W10" s="6">
        <v>0</v>
      </c>
      <c r="Y10" s="6">
        <f t="shared" si="6"/>
        <v>4438</v>
      </c>
    </row>
    <row r="11" spans="2:25">
      <c r="B11" s="4" t="s">
        <v>13</v>
      </c>
      <c r="C11" s="5">
        <v>32.599999999999994</v>
      </c>
      <c r="D11" s="5"/>
      <c r="E11" s="5">
        <v>-93.2</v>
      </c>
      <c r="F11" s="5">
        <v>-128.1</v>
      </c>
      <c r="G11" s="5">
        <f t="shared" si="0"/>
        <v>34.899999999999991</v>
      </c>
      <c r="H11" s="5">
        <f t="shared" si="1"/>
        <v>2.2999999999999972</v>
      </c>
      <c r="I11" s="5">
        <f t="shared" si="2"/>
        <v>2.2999999999999972</v>
      </c>
      <c r="J11" s="5"/>
      <c r="K11" s="5">
        <v>-93.2</v>
      </c>
      <c r="L11" s="5">
        <v>-122.9</v>
      </c>
      <c r="M11" s="5">
        <f t="shared" si="3"/>
        <v>29.700000000000003</v>
      </c>
      <c r="N11" s="5">
        <f t="shared" si="4"/>
        <v>-2.8999999999999915</v>
      </c>
      <c r="O11" s="5">
        <f t="shared" si="5"/>
        <v>2.8999999999999915</v>
      </c>
      <c r="S11" s="6">
        <v>2</v>
      </c>
      <c r="T11" s="6">
        <v>5</v>
      </c>
      <c r="U11" s="6">
        <v>1</v>
      </c>
      <c r="V11" s="6">
        <v>2</v>
      </c>
      <c r="W11" s="6">
        <v>0</v>
      </c>
      <c r="Y11" s="6">
        <f t="shared" si="6"/>
        <v>4774</v>
      </c>
    </row>
    <row r="12" spans="2:25">
      <c r="B12" s="4" t="s">
        <v>11</v>
      </c>
      <c r="C12" s="5">
        <v>44.900000000000006</v>
      </c>
      <c r="D12" s="5"/>
      <c r="E12" s="5">
        <v>-99.1</v>
      </c>
      <c r="F12" s="5">
        <v>-128.4</v>
      </c>
      <c r="G12" s="5">
        <f t="shared" si="0"/>
        <v>29.300000000000011</v>
      </c>
      <c r="H12" s="5">
        <f t="shared" si="1"/>
        <v>-15.599999999999994</v>
      </c>
      <c r="I12" s="5">
        <f t="shared" si="2"/>
        <v>15.599999999999994</v>
      </c>
      <c r="J12" s="5"/>
      <c r="K12" s="5">
        <v>-99.4</v>
      </c>
      <c r="L12" s="5">
        <v>-132</v>
      </c>
      <c r="M12" s="5">
        <f t="shared" si="3"/>
        <v>32.599999999999994</v>
      </c>
      <c r="N12" s="5">
        <f t="shared" si="4"/>
        <v>-12.300000000000011</v>
      </c>
      <c r="O12" s="5">
        <f t="shared" si="5"/>
        <v>12.300000000000011</v>
      </c>
      <c r="S12" s="6">
        <v>3</v>
      </c>
      <c r="T12" s="6">
        <v>7</v>
      </c>
      <c r="U12" s="6">
        <v>1</v>
      </c>
      <c r="V12" s="6">
        <v>2</v>
      </c>
      <c r="W12" s="6">
        <v>0</v>
      </c>
      <c r="Y12" s="6">
        <f t="shared" si="6"/>
        <v>7084</v>
      </c>
    </row>
    <row r="13" spans="2:25">
      <c r="B13" s="1" t="s">
        <v>32</v>
      </c>
      <c r="C13" s="5">
        <v>6.8</v>
      </c>
      <c r="D13" s="5"/>
      <c r="E13" s="5">
        <v>-23.1</v>
      </c>
      <c r="F13" s="5">
        <v>-32</v>
      </c>
      <c r="G13" s="5">
        <f t="shared" si="0"/>
        <v>8.8999999999999986</v>
      </c>
      <c r="H13" s="5">
        <f t="shared" si="1"/>
        <v>2.0999999999999988</v>
      </c>
      <c r="I13" s="5">
        <f t="shared" si="2"/>
        <v>2.0999999999999988</v>
      </c>
      <c r="J13" s="5"/>
      <c r="K13" s="5">
        <v>-21</v>
      </c>
      <c r="L13" s="5">
        <v>-23.2</v>
      </c>
      <c r="M13" s="5">
        <f t="shared" si="3"/>
        <v>2.1999999999999993</v>
      </c>
      <c r="N13" s="5">
        <f t="shared" si="4"/>
        <v>-4.6000000000000005</v>
      </c>
      <c r="O13" s="5">
        <f t="shared" si="5"/>
        <v>4.6000000000000005</v>
      </c>
      <c r="S13" s="6">
        <v>3</v>
      </c>
      <c r="T13" s="6">
        <v>8</v>
      </c>
      <c r="U13" s="6">
        <v>0</v>
      </c>
      <c r="V13" s="6">
        <v>0</v>
      </c>
      <c r="W13" s="6">
        <v>0</v>
      </c>
      <c r="Y13" s="6">
        <f t="shared" si="6"/>
        <v>7140</v>
      </c>
    </row>
    <row r="14" spans="2:25">
      <c r="B14" s="1" t="s">
        <v>33</v>
      </c>
      <c r="C14" s="5">
        <v>16.7</v>
      </c>
      <c r="D14" s="5"/>
      <c r="E14" s="5">
        <v>-82.4</v>
      </c>
      <c r="F14" s="5">
        <v>-101.1</v>
      </c>
      <c r="G14" s="5">
        <f t="shared" si="0"/>
        <v>18.699999999999989</v>
      </c>
      <c r="H14" s="5">
        <f t="shared" si="1"/>
        <v>1.9999999999999893</v>
      </c>
      <c r="I14" s="5">
        <f t="shared" si="2"/>
        <v>1.9999999999999893</v>
      </c>
      <c r="J14" s="5"/>
      <c r="K14" s="5">
        <v>-84.4</v>
      </c>
      <c r="L14" s="5">
        <v>-94.9</v>
      </c>
      <c r="M14" s="5">
        <f t="shared" si="3"/>
        <v>10.5</v>
      </c>
      <c r="N14" s="5">
        <f t="shared" si="4"/>
        <v>-6.1999999999999993</v>
      </c>
      <c r="O14" s="5">
        <f t="shared" si="5"/>
        <v>6.1999999999999993</v>
      </c>
      <c r="S14" s="6">
        <v>4</v>
      </c>
      <c r="T14" s="6">
        <v>2</v>
      </c>
      <c r="U14" s="6">
        <v>0</v>
      </c>
      <c r="V14" s="6">
        <v>3</v>
      </c>
      <c r="W14" s="6">
        <v>0</v>
      </c>
      <c r="Y14" s="6">
        <f t="shared" si="6"/>
        <v>8631</v>
      </c>
    </row>
    <row r="15" spans="2:25">
      <c r="B15" s="1" t="s">
        <v>34</v>
      </c>
      <c r="C15" s="5">
        <v>31.3</v>
      </c>
      <c r="D15" s="5"/>
      <c r="E15" s="5">
        <v>-74.2</v>
      </c>
      <c r="F15" s="5">
        <v>-106.8</v>
      </c>
      <c r="G15" s="5">
        <f t="shared" si="0"/>
        <v>32.599999999999994</v>
      </c>
      <c r="H15" s="5">
        <f t="shared" si="1"/>
        <v>1.2999999999999936</v>
      </c>
      <c r="I15" s="5">
        <f t="shared" si="2"/>
        <v>1.2999999999999936</v>
      </c>
      <c r="J15" s="5"/>
      <c r="K15" s="5">
        <v>-75.599999999999994</v>
      </c>
      <c r="L15" s="5">
        <v>-95.2</v>
      </c>
      <c r="M15" s="5">
        <f t="shared" si="3"/>
        <v>19.600000000000009</v>
      </c>
      <c r="N15" s="5">
        <f t="shared" si="4"/>
        <v>-11.699999999999992</v>
      </c>
      <c r="O15" s="5">
        <f t="shared" si="5"/>
        <v>11.699999999999992</v>
      </c>
      <c r="S15" s="6">
        <v>4</v>
      </c>
      <c r="T15" s="6">
        <v>4</v>
      </c>
      <c r="U15" s="6">
        <v>2</v>
      </c>
      <c r="V15" s="6">
        <v>2</v>
      </c>
      <c r="W15" s="6">
        <v>0</v>
      </c>
      <c r="Y15" s="6">
        <f t="shared" si="6"/>
        <v>8904</v>
      </c>
    </row>
    <row r="16" spans="2:25">
      <c r="B16" s="1" t="s">
        <v>35</v>
      </c>
      <c r="C16" s="5">
        <v>18.3</v>
      </c>
      <c r="D16" s="5"/>
      <c r="E16" s="5">
        <v>28.2</v>
      </c>
      <c r="F16" s="5">
        <v>1.7</v>
      </c>
      <c r="G16" s="5">
        <f t="shared" si="0"/>
        <v>26.5</v>
      </c>
      <c r="H16" s="5">
        <f t="shared" si="1"/>
        <v>8.1999999999999993</v>
      </c>
      <c r="I16" s="5">
        <f t="shared" si="2"/>
        <v>8.1999999999999993</v>
      </c>
      <c r="J16" s="5"/>
      <c r="K16" s="5">
        <v>30.6</v>
      </c>
      <c r="L16" s="5">
        <v>21.4</v>
      </c>
      <c r="M16" s="5">
        <f t="shared" si="3"/>
        <v>9.2000000000000028</v>
      </c>
      <c r="N16" s="5">
        <f t="shared" si="4"/>
        <v>-9.0999999999999979</v>
      </c>
      <c r="O16" s="5">
        <f t="shared" si="5"/>
        <v>9.0999999999999979</v>
      </c>
      <c r="S16" s="6">
        <v>5</v>
      </c>
      <c r="T16" s="6">
        <v>6</v>
      </c>
      <c r="U16" s="6">
        <v>2</v>
      </c>
      <c r="V16" s="6">
        <v>0</v>
      </c>
      <c r="W16" s="6">
        <v>0</v>
      </c>
      <c r="Y16" s="6">
        <f t="shared" si="6"/>
        <v>11200</v>
      </c>
    </row>
    <row r="17" spans="2:25">
      <c r="B17" s="1" t="s">
        <v>36</v>
      </c>
      <c r="C17" s="5">
        <v>19.3</v>
      </c>
      <c r="D17" s="5"/>
      <c r="E17" s="5">
        <v>31.4</v>
      </c>
      <c r="F17" s="5">
        <v>9.5</v>
      </c>
      <c r="G17" s="5">
        <f t="shared" si="0"/>
        <v>21.9</v>
      </c>
      <c r="H17" s="5">
        <f t="shared" si="1"/>
        <v>2.5999999999999979</v>
      </c>
      <c r="I17" s="5">
        <f t="shared" si="2"/>
        <v>2.5999999999999979</v>
      </c>
      <c r="J17" s="5"/>
      <c r="K17" s="5">
        <v>32.700000000000003</v>
      </c>
      <c r="L17" s="5">
        <v>23.2</v>
      </c>
      <c r="M17" s="5">
        <f t="shared" si="3"/>
        <v>9.5000000000000036</v>
      </c>
      <c r="N17" s="5">
        <f t="shared" si="4"/>
        <v>-9.7999999999999972</v>
      </c>
      <c r="O17" s="5">
        <f t="shared" si="5"/>
        <v>9.7999999999999972</v>
      </c>
      <c r="S17" s="6">
        <v>5</v>
      </c>
      <c r="T17" s="6">
        <v>6</v>
      </c>
      <c r="U17" s="6">
        <v>2</v>
      </c>
      <c r="V17" s="6">
        <v>0</v>
      </c>
      <c r="W17" s="6">
        <v>0</v>
      </c>
      <c r="Y17" s="6">
        <f t="shared" si="6"/>
        <v>11200</v>
      </c>
    </row>
    <row r="18" spans="2:25">
      <c r="B18" s="1" t="s">
        <v>37</v>
      </c>
      <c r="C18" s="5">
        <v>20.8</v>
      </c>
      <c r="D18" s="5"/>
      <c r="E18" s="5">
        <v>27.9</v>
      </c>
      <c r="F18" s="5">
        <v>2</v>
      </c>
      <c r="G18" s="5">
        <f t="shared" si="0"/>
        <v>25.9</v>
      </c>
      <c r="H18" s="5">
        <f t="shared" si="1"/>
        <v>5.0999999999999979</v>
      </c>
      <c r="I18" s="5">
        <f t="shared" si="2"/>
        <v>5.0999999999999979</v>
      </c>
      <c r="J18" s="5"/>
      <c r="K18" s="5">
        <v>29.4</v>
      </c>
      <c r="L18" s="5">
        <v>19</v>
      </c>
      <c r="M18" s="5">
        <f t="shared" si="3"/>
        <v>10.399999999999999</v>
      </c>
      <c r="N18" s="5">
        <f t="shared" si="4"/>
        <v>-10.400000000000002</v>
      </c>
      <c r="O18" s="5">
        <f t="shared" si="5"/>
        <v>10.400000000000002</v>
      </c>
      <c r="S18" s="6">
        <v>5</v>
      </c>
      <c r="T18" s="6">
        <v>6</v>
      </c>
      <c r="U18" s="6">
        <v>2</v>
      </c>
      <c r="V18" s="6">
        <v>0</v>
      </c>
      <c r="W18" s="6">
        <v>0</v>
      </c>
      <c r="Y18" s="6">
        <f t="shared" si="6"/>
        <v>11200</v>
      </c>
    </row>
    <row r="19" spans="2:25">
      <c r="B19" s="4" t="s">
        <v>9</v>
      </c>
      <c r="C19" s="5">
        <v>32</v>
      </c>
      <c r="D19" s="5"/>
      <c r="E19" s="5">
        <v>-82.5</v>
      </c>
      <c r="F19" s="5">
        <v>-117.6</v>
      </c>
      <c r="G19" s="5">
        <f t="shared" si="0"/>
        <v>35.099999999999994</v>
      </c>
      <c r="H19" s="5">
        <f t="shared" si="1"/>
        <v>3.0999999999999943</v>
      </c>
      <c r="I19" s="5">
        <f t="shared" si="2"/>
        <v>3.0999999999999943</v>
      </c>
      <c r="J19" s="5"/>
      <c r="K19" s="5">
        <v>-82.9</v>
      </c>
      <c r="L19" s="5">
        <v>-100.8</v>
      </c>
      <c r="M19" s="5">
        <f t="shared" si="3"/>
        <v>17.899999999999991</v>
      </c>
      <c r="N19" s="5">
        <f t="shared" si="4"/>
        <v>-14.100000000000009</v>
      </c>
      <c r="O19" s="5">
        <f t="shared" si="5"/>
        <v>14.100000000000009</v>
      </c>
      <c r="S19" s="6">
        <v>5</v>
      </c>
      <c r="T19" s="6">
        <v>6</v>
      </c>
      <c r="U19" s="6">
        <v>2</v>
      </c>
      <c r="V19" s="6">
        <v>2</v>
      </c>
      <c r="W19" s="6">
        <v>0</v>
      </c>
      <c r="Y19" s="6">
        <f t="shared" si="6"/>
        <v>11214</v>
      </c>
    </row>
    <row r="20" spans="2:25">
      <c r="B20" s="1" t="s">
        <v>38</v>
      </c>
      <c r="C20" s="5">
        <v>29.9</v>
      </c>
      <c r="D20" s="5"/>
      <c r="E20" s="5">
        <v>-98</v>
      </c>
      <c r="F20" s="5">
        <v>-133</v>
      </c>
      <c r="G20" s="5">
        <f t="shared" si="0"/>
        <v>35</v>
      </c>
      <c r="H20" s="5">
        <f t="shared" si="1"/>
        <v>5.1000000000000014</v>
      </c>
      <c r="I20" s="5">
        <f t="shared" si="2"/>
        <v>5.1000000000000014</v>
      </c>
      <c r="J20" s="5"/>
      <c r="K20" s="5">
        <v>-98.7</v>
      </c>
      <c r="L20" s="5">
        <v>-126.9</v>
      </c>
      <c r="M20" s="5">
        <f t="shared" si="3"/>
        <v>28.200000000000003</v>
      </c>
      <c r="N20" s="5">
        <f t="shared" si="4"/>
        <v>-1.6999999999999957</v>
      </c>
      <c r="O20" s="5">
        <f t="shared" si="5"/>
        <v>1.6999999999999957</v>
      </c>
      <c r="S20" s="6">
        <v>5</v>
      </c>
      <c r="T20" s="6">
        <v>11</v>
      </c>
      <c r="U20" s="6">
        <v>0</v>
      </c>
      <c r="V20" s="6">
        <v>2</v>
      </c>
      <c r="W20" s="6">
        <v>1</v>
      </c>
      <c r="Y20" s="6">
        <f t="shared" si="6"/>
        <v>11670</v>
      </c>
    </row>
    <row r="21" spans="2:25">
      <c r="B21" s="1" t="s">
        <v>39</v>
      </c>
      <c r="C21" s="5">
        <v>10</v>
      </c>
      <c r="D21" s="5"/>
      <c r="E21" s="5">
        <v>-33.299999999999997</v>
      </c>
      <c r="F21" s="5">
        <v>-46.8</v>
      </c>
      <c r="G21" s="5">
        <f t="shared" si="0"/>
        <v>13.5</v>
      </c>
      <c r="H21" s="5">
        <f t="shared" si="1"/>
        <v>3.5</v>
      </c>
      <c r="I21" s="5">
        <f t="shared" si="2"/>
        <v>3.5</v>
      </c>
      <c r="J21" s="5"/>
      <c r="K21" s="5">
        <v>-31</v>
      </c>
      <c r="L21" s="5">
        <v>-32.9</v>
      </c>
      <c r="M21" s="5">
        <f t="shared" si="3"/>
        <v>1.8999999999999986</v>
      </c>
      <c r="N21" s="5">
        <f t="shared" si="4"/>
        <v>-8.1000000000000014</v>
      </c>
      <c r="O21" s="5">
        <f t="shared" si="5"/>
        <v>8.1000000000000014</v>
      </c>
      <c r="S21" s="6">
        <v>5</v>
      </c>
      <c r="T21" s="6">
        <v>12</v>
      </c>
      <c r="U21" s="6">
        <v>0</v>
      </c>
      <c r="V21" s="6">
        <v>0</v>
      </c>
      <c r="W21" s="6">
        <v>0</v>
      </c>
      <c r="Y21" s="6">
        <f t="shared" si="6"/>
        <v>11760</v>
      </c>
    </row>
    <row r="22" spans="2:25">
      <c r="B22" s="1" t="s">
        <v>40</v>
      </c>
      <c r="C22" s="5">
        <v>21.6</v>
      </c>
      <c r="D22" s="5"/>
      <c r="E22" s="5">
        <v>-16.8</v>
      </c>
      <c r="F22" s="5">
        <v>-65.900000000000006</v>
      </c>
      <c r="G22" s="5">
        <f t="shared" si="0"/>
        <v>49.100000000000009</v>
      </c>
      <c r="H22" s="5">
        <f t="shared" si="1"/>
        <v>27.500000000000007</v>
      </c>
      <c r="I22" s="5">
        <f t="shared" si="2"/>
        <v>27.500000000000007</v>
      </c>
      <c r="J22" s="5"/>
      <c r="K22" s="5">
        <v>-10</v>
      </c>
      <c r="L22" s="5">
        <v>-12.5</v>
      </c>
      <c r="M22" s="5">
        <f t="shared" si="3"/>
        <v>2.5</v>
      </c>
      <c r="N22" s="5">
        <f t="shared" si="4"/>
        <v>-19.100000000000001</v>
      </c>
      <c r="O22" s="5">
        <f t="shared" si="5"/>
        <v>19.100000000000001</v>
      </c>
      <c r="S22" s="6">
        <v>6</v>
      </c>
      <c r="T22" s="6">
        <v>0</v>
      </c>
      <c r="U22" s="6">
        <v>0</v>
      </c>
      <c r="V22" s="6">
        <v>0</v>
      </c>
      <c r="W22" s="6">
        <v>6</v>
      </c>
      <c r="Y22" s="6">
        <f t="shared" si="6"/>
        <v>12606</v>
      </c>
    </row>
    <row r="23" spans="2:25">
      <c r="B23" s="1" t="s">
        <v>47</v>
      </c>
      <c r="C23" s="5">
        <v>11.9</v>
      </c>
      <c r="D23" s="5"/>
      <c r="E23" s="5">
        <v>-236.2</v>
      </c>
      <c r="F23" s="5">
        <v>-253.1</v>
      </c>
      <c r="G23" s="5">
        <f t="shared" si="0"/>
        <v>16.900000000000006</v>
      </c>
      <c r="H23" s="5">
        <f t="shared" si="1"/>
        <v>5.0000000000000053</v>
      </c>
      <c r="I23" s="5">
        <f t="shared" si="2"/>
        <v>5.0000000000000053</v>
      </c>
      <c r="J23" s="5"/>
      <c r="K23" s="5">
        <v>-237.1</v>
      </c>
      <c r="L23" s="5">
        <v>-237.4</v>
      </c>
      <c r="M23" s="5">
        <f t="shared" si="3"/>
        <v>0.30000000000001137</v>
      </c>
      <c r="N23" s="5">
        <f t="shared" si="4"/>
        <v>-11.599999999999989</v>
      </c>
      <c r="O23" s="5">
        <f t="shared" si="5"/>
        <v>11.599999999999989</v>
      </c>
      <c r="S23" s="6">
        <v>6</v>
      </c>
      <c r="T23" s="6">
        <v>0</v>
      </c>
      <c r="U23" s="6">
        <v>0</v>
      </c>
      <c r="V23" s="6">
        <v>0</v>
      </c>
      <c r="W23" s="6">
        <v>6</v>
      </c>
      <c r="Y23" s="6">
        <f t="shared" si="6"/>
        <v>12606</v>
      </c>
    </row>
    <row r="24" spans="2:25">
      <c r="B24" s="1" t="s">
        <v>48</v>
      </c>
      <c r="C24" s="5">
        <v>24.1</v>
      </c>
      <c r="D24" s="5"/>
      <c r="E24" s="5">
        <v>33.200000000000003</v>
      </c>
      <c r="F24" s="5">
        <v>-2.1</v>
      </c>
      <c r="G24" s="5">
        <f t="shared" si="0"/>
        <v>35.300000000000004</v>
      </c>
      <c r="H24" s="5">
        <f t="shared" si="1"/>
        <v>11.200000000000003</v>
      </c>
      <c r="I24" s="5">
        <f t="shared" si="2"/>
        <v>11.200000000000003</v>
      </c>
      <c r="J24" s="5"/>
      <c r="K24" s="5">
        <v>21.8</v>
      </c>
      <c r="L24" s="5">
        <v>-30.7</v>
      </c>
      <c r="M24" s="5">
        <f t="shared" si="3"/>
        <v>52.5</v>
      </c>
      <c r="N24" s="5">
        <f t="shared" si="4"/>
        <v>28.4</v>
      </c>
      <c r="O24" s="5">
        <f t="shared" si="5"/>
        <v>28.4</v>
      </c>
      <c r="S24" s="6">
        <v>6</v>
      </c>
      <c r="T24" s="6">
        <v>4</v>
      </c>
      <c r="U24" s="6">
        <v>1</v>
      </c>
      <c r="V24" s="6">
        <v>0</v>
      </c>
      <c r="W24" s="6">
        <v>3</v>
      </c>
      <c r="Y24" s="6">
        <f t="shared" si="6"/>
        <v>13058</v>
      </c>
    </row>
    <row r="25" spans="2:25">
      <c r="B25" s="1" t="s">
        <v>41</v>
      </c>
      <c r="C25" s="5">
        <v>10.8</v>
      </c>
      <c r="D25" s="5"/>
      <c r="E25" s="5">
        <v>23</v>
      </c>
      <c r="F25" s="5">
        <v>15.2</v>
      </c>
      <c r="G25" s="5">
        <f t="shared" si="0"/>
        <v>7.8000000000000007</v>
      </c>
      <c r="H25" s="5">
        <f t="shared" si="1"/>
        <v>-3</v>
      </c>
      <c r="I25" s="5">
        <f t="shared" si="2"/>
        <v>3</v>
      </c>
      <c r="J25" s="5"/>
      <c r="K25" s="5">
        <v>24.2</v>
      </c>
      <c r="L25" s="5">
        <v>21</v>
      </c>
      <c r="M25" s="5">
        <f t="shared" si="3"/>
        <v>3.1999999999999993</v>
      </c>
      <c r="N25" s="5">
        <f t="shared" si="4"/>
        <v>-7.6000000000000014</v>
      </c>
      <c r="O25" s="5">
        <f t="shared" si="5"/>
        <v>7.6000000000000014</v>
      </c>
      <c r="S25" s="6">
        <v>6</v>
      </c>
      <c r="T25" s="6">
        <v>6</v>
      </c>
      <c r="U25" s="6">
        <v>0</v>
      </c>
      <c r="V25" s="6">
        <v>0</v>
      </c>
      <c r="W25" s="6">
        <v>0</v>
      </c>
      <c r="Y25" s="6">
        <f t="shared" si="6"/>
        <v>13230</v>
      </c>
    </row>
    <row r="26" spans="2:25">
      <c r="B26" s="1" t="s">
        <v>49</v>
      </c>
      <c r="C26" s="5">
        <v>24.1</v>
      </c>
      <c r="D26" s="5"/>
      <c r="E26" s="5">
        <v>13</v>
      </c>
      <c r="F26" s="5">
        <v>-16.899999999999999</v>
      </c>
      <c r="G26" s="5">
        <f t="shared" si="0"/>
        <v>29.9</v>
      </c>
      <c r="H26" s="5">
        <f t="shared" si="1"/>
        <v>5.7999999999999972</v>
      </c>
      <c r="I26" s="5">
        <f t="shared" si="2"/>
        <v>5.7999999999999972</v>
      </c>
      <c r="J26" s="5"/>
      <c r="K26" s="5">
        <v>12.1</v>
      </c>
      <c r="L26" s="5">
        <v>-4.3</v>
      </c>
      <c r="M26" s="5">
        <f t="shared" si="3"/>
        <v>16.399999999999999</v>
      </c>
      <c r="N26" s="5">
        <f t="shared" si="4"/>
        <v>-7.7000000000000028</v>
      </c>
      <c r="O26" s="5">
        <f t="shared" si="5"/>
        <v>7.7000000000000028</v>
      </c>
      <c r="S26" s="6">
        <v>6</v>
      </c>
      <c r="T26" s="6">
        <v>6</v>
      </c>
      <c r="U26" s="6">
        <v>2</v>
      </c>
      <c r="V26" s="6">
        <v>2</v>
      </c>
      <c r="W26" s="6">
        <v>0</v>
      </c>
      <c r="Y26" s="6">
        <f t="shared" si="6"/>
        <v>13314</v>
      </c>
    </row>
    <row r="27" spans="2:25">
      <c r="B27" s="1" t="s">
        <v>50</v>
      </c>
      <c r="C27" s="5">
        <v>23.2</v>
      </c>
      <c r="D27" s="5"/>
      <c r="E27" s="5">
        <v>-25.5</v>
      </c>
      <c r="F27" s="5">
        <v>-40</v>
      </c>
      <c r="G27" s="5">
        <f t="shared" si="0"/>
        <v>14.5</v>
      </c>
      <c r="H27" s="5">
        <f t="shared" si="1"/>
        <v>-8.6999999999999993</v>
      </c>
      <c r="I27" s="5">
        <f t="shared" si="2"/>
        <v>8.6999999999999993</v>
      </c>
      <c r="J27" s="5"/>
      <c r="K27" s="5">
        <v>-20.6</v>
      </c>
      <c r="L27" s="5">
        <v>-38.200000000000003</v>
      </c>
      <c r="M27" s="5">
        <f t="shared" si="3"/>
        <v>17.600000000000001</v>
      </c>
      <c r="N27" s="5">
        <f t="shared" si="4"/>
        <v>-5.5999999999999979</v>
      </c>
      <c r="O27" s="5">
        <f t="shared" si="5"/>
        <v>5.5999999999999979</v>
      </c>
      <c r="S27" s="6">
        <v>6</v>
      </c>
      <c r="T27" s="6">
        <v>7</v>
      </c>
      <c r="U27" s="6">
        <v>1</v>
      </c>
      <c r="V27" s="6">
        <v>1</v>
      </c>
      <c r="W27" s="6">
        <v>0</v>
      </c>
      <c r="Y27" s="6">
        <f t="shared" si="6"/>
        <v>13377</v>
      </c>
    </row>
    <row r="28" spans="2:25">
      <c r="B28" s="1" t="s">
        <v>51</v>
      </c>
      <c r="C28" s="5">
        <v>24.4</v>
      </c>
      <c r="D28" s="5"/>
      <c r="E28" s="5">
        <v>-25.4</v>
      </c>
      <c r="F28" s="5">
        <v>-49.6</v>
      </c>
      <c r="G28" s="5">
        <f t="shared" si="0"/>
        <v>24.200000000000003</v>
      </c>
      <c r="H28" s="5">
        <f t="shared" si="1"/>
        <v>-0.19999999999999574</v>
      </c>
      <c r="I28" s="5">
        <f t="shared" si="2"/>
        <v>0.19999999999999574</v>
      </c>
      <c r="J28" s="5"/>
      <c r="K28" s="5">
        <v>-25.8</v>
      </c>
      <c r="L28" s="5">
        <v>-36.5</v>
      </c>
      <c r="M28" s="5">
        <f t="shared" si="3"/>
        <v>10.7</v>
      </c>
      <c r="N28" s="5">
        <f t="shared" si="4"/>
        <v>-13.7</v>
      </c>
      <c r="O28" s="5">
        <f t="shared" si="5"/>
        <v>13.7</v>
      </c>
      <c r="S28" s="6">
        <v>6</v>
      </c>
      <c r="T28" s="6">
        <v>7</v>
      </c>
      <c r="U28" s="6">
        <v>1</v>
      </c>
      <c r="V28" s="6">
        <v>1</v>
      </c>
      <c r="W28" s="6">
        <v>0</v>
      </c>
      <c r="Y28" s="6">
        <f t="shared" si="6"/>
        <v>13377</v>
      </c>
    </row>
    <row r="29" spans="2:25">
      <c r="B29" s="1" t="s">
        <v>52</v>
      </c>
      <c r="C29" s="5">
        <v>24.8</v>
      </c>
      <c r="D29" s="5"/>
      <c r="E29" s="5">
        <v>-21.6</v>
      </c>
      <c r="F29" s="5">
        <v>-48.7</v>
      </c>
      <c r="G29" s="5">
        <f t="shared" si="0"/>
        <v>27.1</v>
      </c>
      <c r="H29" s="5">
        <f t="shared" si="1"/>
        <v>2.3000000000000007</v>
      </c>
      <c r="I29" s="5">
        <f t="shared" si="2"/>
        <v>2.3000000000000007</v>
      </c>
      <c r="J29" s="5"/>
      <c r="K29" s="5">
        <v>-21.4</v>
      </c>
      <c r="L29" s="5">
        <v>-40.700000000000003</v>
      </c>
      <c r="M29" s="5">
        <f t="shared" si="3"/>
        <v>19.300000000000004</v>
      </c>
      <c r="N29" s="5">
        <f t="shared" si="4"/>
        <v>-5.4999999999999964</v>
      </c>
      <c r="O29" s="5">
        <f t="shared" si="5"/>
        <v>5.4999999999999964</v>
      </c>
      <c r="S29" s="6">
        <v>6</v>
      </c>
      <c r="T29" s="6">
        <v>7</v>
      </c>
      <c r="U29" s="6">
        <v>1</v>
      </c>
      <c r="V29" s="6">
        <v>1</v>
      </c>
      <c r="W29" s="6">
        <v>0</v>
      </c>
      <c r="Y29" s="6">
        <f t="shared" si="6"/>
        <v>13377</v>
      </c>
    </row>
    <row r="30" spans="2:25">
      <c r="B30" s="1" t="s">
        <v>53</v>
      </c>
      <c r="C30" s="5">
        <v>5.2</v>
      </c>
      <c r="D30" s="5"/>
      <c r="E30" s="5">
        <v>-27.4</v>
      </c>
      <c r="F30" s="5">
        <v>-38.6</v>
      </c>
      <c r="G30" s="5">
        <f t="shared" si="0"/>
        <v>11.200000000000003</v>
      </c>
      <c r="H30" s="5">
        <f t="shared" si="1"/>
        <v>6.0000000000000027</v>
      </c>
      <c r="I30" s="5">
        <f t="shared" si="2"/>
        <v>6.0000000000000027</v>
      </c>
      <c r="J30" s="5"/>
      <c r="K30" s="5">
        <v>-27.5</v>
      </c>
      <c r="L30" s="5">
        <v>-29.6</v>
      </c>
      <c r="M30" s="5">
        <f t="shared" si="3"/>
        <v>2.1000000000000014</v>
      </c>
      <c r="N30" s="5">
        <f t="shared" si="4"/>
        <v>-3.0999999999999988</v>
      </c>
      <c r="O30" s="5">
        <f t="shared" si="5"/>
        <v>3.0999999999999988</v>
      </c>
      <c r="S30" s="6">
        <v>6</v>
      </c>
      <c r="T30" s="6">
        <v>12</v>
      </c>
      <c r="U30" s="6">
        <v>0</v>
      </c>
      <c r="V30" s="6">
        <v>0</v>
      </c>
      <c r="W30" s="6">
        <v>0</v>
      </c>
      <c r="Y30" s="6">
        <f t="shared" si="6"/>
        <v>13860</v>
      </c>
    </row>
    <row r="31" spans="2:25">
      <c r="B31" s="1" t="s">
        <v>54</v>
      </c>
      <c r="C31" s="5">
        <v>21.8</v>
      </c>
      <c r="D31" s="5"/>
      <c r="E31" s="5">
        <v>-112.1</v>
      </c>
      <c r="F31" s="5">
        <v>-133.5</v>
      </c>
      <c r="G31" s="5">
        <f t="shared" si="0"/>
        <v>21.400000000000006</v>
      </c>
      <c r="H31" s="5">
        <f t="shared" si="1"/>
        <v>-0.39999999999999503</v>
      </c>
      <c r="I31" s="5">
        <f t="shared" si="2"/>
        <v>0.39999999999999503</v>
      </c>
      <c r="J31" s="5"/>
      <c r="K31" s="5">
        <v>-111.2</v>
      </c>
      <c r="L31" s="5">
        <v>-123.2</v>
      </c>
      <c r="M31" s="5">
        <f t="shared" si="3"/>
        <v>12</v>
      </c>
      <c r="N31" s="5">
        <f t="shared" si="4"/>
        <v>-9.8000000000000007</v>
      </c>
      <c r="O31" s="5">
        <f t="shared" si="5"/>
        <v>9.8000000000000007</v>
      </c>
      <c r="S31" s="6">
        <v>7</v>
      </c>
      <c r="T31" s="6">
        <v>5</v>
      </c>
      <c r="U31" s="6">
        <v>0</v>
      </c>
      <c r="V31" s="6">
        <v>2</v>
      </c>
      <c r="W31" s="6">
        <v>1</v>
      </c>
      <c r="Y31" s="6">
        <f t="shared" si="6"/>
        <v>15240</v>
      </c>
    </row>
    <row r="32" spans="2:25">
      <c r="B32" s="1" t="s">
        <v>56</v>
      </c>
      <c r="C32" s="5">
        <v>24.6</v>
      </c>
      <c r="D32" s="5"/>
      <c r="E32" s="5">
        <v>-73.2</v>
      </c>
      <c r="F32" s="5">
        <v>-102.9</v>
      </c>
      <c r="G32" s="5">
        <f t="shared" ref="G32" si="7">E32-F32</f>
        <v>29.700000000000003</v>
      </c>
      <c r="H32" s="5">
        <f t="shared" ref="H32" si="8">G32-C32</f>
        <v>5.1000000000000014</v>
      </c>
      <c r="I32" s="5">
        <f t="shared" ref="I32" si="9">ABS(H32)</f>
        <v>5.1000000000000014</v>
      </c>
      <c r="J32" s="5"/>
      <c r="K32" s="5">
        <v>-72.3</v>
      </c>
      <c r="L32" s="5">
        <v>-86</v>
      </c>
      <c r="M32" s="5">
        <f t="shared" ref="M32" si="10">K32-L32</f>
        <v>13.700000000000003</v>
      </c>
      <c r="N32" s="5">
        <f t="shared" ref="N32" si="11">M32-C32</f>
        <v>-10.899999999999999</v>
      </c>
      <c r="O32" s="5">
        <f t="shared" ref="O32" si="12">ABS(N32)</f>
        <v>10.899999999999999</v>
      </c>
    </row>
    <row r="33" spans="2:25">
      <c r="B33" s="4" t="s">
        <v>6</v>
      </c>
      <c r="C33" s="5">
        <v>21.900000000000006</v>
      </c>
      <c r="D33" s="5"/>
      <c r="E33" s="5">
        <v>-66.099999999999994</v>
      </c>
      <c r="F33" s="5">
        <v>-90.2</v>
      </c>
      <c r="G33" s="5">
        <f t="shared" si="0"/>
        <v>24.100000000000009</v>
      </c>
      <c r="H33" s="5">
        <f t="shared" si="1"/>
        <v>2.2000000000000028</v>
      </c>
      <c r="I33" s="5">
        <f t="shared" si="2"/>
        <v>2.2000000000000028</v>
      </c>
      <c r="J33" s="5"/>
      <c r="K33" s="5">
        <v>-64.599999999999994</v>
      </c>
      <c r="L33" s="5">
        <v>-74.599999999999994</v>
      </c>
      <c r="M33" s="5">
        <f t="shared" si="3"/>
        <v>10</v>
      </c>
      <c r="N33" s="5">
        <f t="shared" si="4"/>
        <v>-11.900000000000006</v>
      </c>
      <c r="O33" s="5">
        <f t="shared" si="5"/>
        <v>11.900000000000006</v>
      </c>
      <c r="S33" s="6">
        <v>7</v>
      </c>
      <c r="T33" s="6">
        <v>6</v>
      </c>
      <c r="U33" s="6">
        <v>0</v>
      </c>
      <c r="V33" s="6">
        <v>2</v>
      </c>
      <c r="W33" s="6">
        <v>0</v>
      </c>
      <c r="Y33" s="6">
        <f t="shared" si="6"/>
        <v>15344</v>
      </c>
    </row>
    <row r="34" spans="2:25">
      <c r="B34" s="4" t="s">
        <v>12</v>
      </c>
      <c r="C34" s="5">
        <v>52.300000000000011</v>
      </c>
      <c r="D34" s="5"/>
      <c r="E34" s="5">
        <v>-118.4</v>
      </c>
      <c r="F34" s="5">
        <v>-170.6</v>
      </c>
      <c r="G34" s="5">
        <f t="shared" si="0"/>
        <v>52.199999999999989</v>
      </c>
      <c r="H34" s="5">
        <f t="shared" si="1"/>
        <v>-0.10000000000002274</v>
      </c>
      <c r="I34" s="5">
        <f t="shared" si="2"/>
        <v>0.10000000000002274</v>
      </c>
      <c r="J34" s="5"/>
      <c r="K34" s="5">
        <v>-117</v>
      </c>
      <c r="L34" s="5">
        <v>-150.9</v>
      </c>
      <c r="M34" s="5">
        <f t="shared" si="3"/>
        <v>33.900000000000006</v>
      </c>
      <c r="N34" s="5">
        <f t="shared" si="4"/>
        <v>-18.400000000000006</v>
      </c>
      <c r="O34" s="5">
        <f t="shared" si="5"/>
        <v>18.400000000000006</v>
      </c>
      <c r="S34" s="6">
        <v>9</v>
      </c>
      <c r="T34" s="6">
        <v>11</v>
      </c>
      <c r="U34" s="6">
        <v>1</v>
      </c>
      <c r="V34" s="6">
        <v>3</v>
      </c>
      <c r="W34" s="6">
        <v>0</v>
      </c>
      <c r="Y34" s="6">
        <f t="shared" si="6"/>
        <v>20111</v>
      </c>
    </row>
    <row r="35" spans="2:25">
      <c r="B35" s="4" t="s">
        <v>5</v>
      </c>
      <c r="C35" s="5">
        <v>17.3</v>
      </c>
      <c r="D35" s="5"/>
      <c r="E35" s="5">
        <v>39.700000000000003</v>
      </c>
      <c r="F35" s="5">
        <v>24</v>
      </c>
      <c r="G35" s="5">
        <f t="shared" si="0"/>
        <v>15.700000000000003</v>
      </c>
      <c r="H35" s="5">
        <f t="shared" si="1"/>
        <v>-1.5999999999999979</v>
      </c>
      <c r="I35" s="5">
        <f t="shared" si="2"/>
        <v>1.5999999999999979</v>
      </c>
      <c r="J35" s="5"/>
      <c r="K35" s="5">
        <v>40.1</v>
      </c>
      <c r="L35" s="5">
        <v>35.9</v>
      </c>
      <c r="M35" s="5">
        <f t="shared" si="3"/>
        <v>4.2000000000000028</v>
      </c>
      <c r="N35" s="5">
        <f t="shared" si="4"/>
        <v>-13.099999999999998</v>
      </c>
      <c r="O35" s="5">
        <f t="shared" si="5"/>
        <v>13.099999999999998</v>
      </c>
      <c r="S35" s="6">
        <v>10</v>
      </c>
      <c r="T35" s="6">
        <v>8</v>
      </c>
      <c r="U35" s="6">
        <v>0</v>
      </c>
      <c r="V35" s="6">
        <v>0</v>
      </c>
      <c r="W35" s="6">
        <v>0</v>
      </c>
      <c r="Y35" s="6">
        <f t="shared" si="6"/>
        <v>21840</v>
      </c>
    </row>
    <row r="36" spans="2:25">
      <c r="B36" s="1" t="s">
        <v>24</v>
      </c>
      <c r="C36" s="5">
        <v>17.5</v>
      </c>
      <c r="D36" s="5"/>
      <c r="E36" s="5">
        <v>50.3</v>
      </c>
      <c r="F36" s="5">
        <v>34.299999999999997</v>
      </c>
      <c r="G36" s="5">
        <f t="shared" si="0"/>
        <v>16</v>
      </c>
      <c r="H36" s="5">
        <f t="shared" si="1"/>
        <v>-1.5</v>
      </c>
      <c r="I36" s="5">
        <f t="shared" si="2"/>
        <v>1.5</v>
      </c>
      <c r="J36" s="5"/>
      <c r="K36" s="5">
        <v>49.3</v>
      </c>
      <c r="L36" s="5">
        <v>34</v>
      </c>
      <c r="M36" s="5">
        <f t="shared" si="3"/>
        <v>15.299999999999997</v>
      </c>
      <c r="N36" s="5">
        <f t="shared" si="4"/>
        <v>-2.2000000000000028</v>
      </c>
      <c r="O36" s="5">
        <f t="shared" si="5"/>
        <v>2.2000000000000028</v>
      </c>
      <c r="S36" s="6">
        <v>10</v>
      </c>
      <c r="T36" s="6">
        <v>10</v>
      </c>
      <c r="U36" s="6">
        <v>0</v>
      </c>
      <c r="V36" s="6">
        <v>0</v>
      </c>
      <c r="W36" s="6">
        <v>1</v>
      </c>
      <c r="Y36" s="6">
        <f t="shared" si="6"/>
        <v>22051</v>
      </c>
    </row>
    <row r="37" spans="2:25">
      <c r="B37" s="4" t="s">
        <v>10</v>
      </c>
      <c r="C37" s="5">
        <v>14.100000000000001</v>
      </c>
      <c r="D37" s="5"/>
      <c r="E37" s="5">
        <v>-28.6</v>
      </c>
      <c r="F37" s="5">
        <v>-45.7</v>
      </c>
      <c r="G37" s="5">
        <f t="shared" si="0"/>
        <v>17.100000000000001</v>
      </c>
      <c r="H37" s="5">
        <f t="shared" si="1"/>
        <v>3</v>
      </c>
      <c r="I37" s="5">
        <f t="shared" si="2"/>
        <v>3</v>
      </c>
      <c r="J37" s="5"/>
      <c r="K37" s="5">
        <v>-33.200000000000003</v>
      </c>
      <c r="L37" s="5">
        <v>-35.799999999999997</v>
      </c>
      <c r="M37" s="5">
        <f t="shared" si="3"/>
        <v>2.5999999999999943</v>
      </c>
      <c r="N37" s="5">
        <f t="shared" si="4"/>
        <v>-11.500000000000007</v>
      </c>
      <c r="O37" s="5">
        <f t="shared" si="5"/>
        <v>11.500000000000007</v>
      </c>
      <c r="S37" s="6">
        <v>10</v>
      </c>
      <c r="T37" s="6">
        <v>16</v>
      </c>
      <c r="U37" s="6">
        <v>0</v>
      </c>
      <c r="V37" s="6">
        <v>0</v>
      </c>
      <c r="W37" s="6">
        <v>0</v>
      </c>
      <c r="Y37" s="6">
        <f t="shared" si="6"/>
        <v>22680</v>
      </c>
    </row>
    <row r="38" spans="2:25">
      <c r="B38" s="2" t="s">
        <v>4</v>
      </c>
      <c r="C38" s="5">
        <v>20.299999999999997</v>
      </c>
      <c r="D38" s="5"/>
      <c r="E38" s="5">
        <v>-24.6</v>
      </c>
      <c r="F38" s="5">
        <v>-48.5</v>
      </c>
      <c r="G38" s="5">
        <f t="shared" si="0"/>
        <v>23.9</v>
      </c>
      <c r="H38" s="5">
        <f t="shared" si="1"/>
        <v>3.6000000000000014</v>
      </c>
      <c r="I38" s="5">
        <f t="shared" si="2"/>
        <v>3.6000000000000014</v>
      </c>
      <c r="J38" s="5"/>
      <c r="K38" s="5">
        <v>-23.9</v>
      </c>
      <c r="L38" s="5">
        <v>-28.2</v>
      </c>
      <c r="M38" s="5">
        <f t="shared" si="3"/>
        <v>4.3000000000000007</v>
      </c>
      <c r="N38" s="5">
        <f t="shared" si="4"/>
        <v>-15.999999999999996</v>
      </c>
      <c r="O38" s="5">
        <f t="shared" si="5"/>
        <v>15.999999999999996</v>
      </c>
      <c r="S38" s="6">
        <v>12</v>
      </c>
      <c r="T38" s="6">
        <v>18</v>
      </c>
      <c r="U38" s="6">
        <v>0</v>
      </c>
      <c r="V38" s="6">
        <v>0</v>
      </c>
      <c r="W38" s="6">
        <v>0</v>
      </c>
      <c r="Y38" s="6">
        <f t="shared" si="6"/>
        <v>27090</v>
      </c>
    </row>
    <row r="39" spans="2:25">
      <c r="B39" s="13" t="s">
        <v>8</v>
      </c>
      <c r="C39" s="14">
        <v>24</v>
      </c>
      <c r="D39" s="14"/>
      <c r="E39" s="14">
        <v>62.5</v>
      </c>
      <c r="F39" s="14">
        <v>32.799999999999997</v>
      </c>
      <c r="G39" s="14">
        <f t="shared" si="0"/>
        <v>29.700000000000003</v>
      </c>
      <c r="H39" s="14">
        <f t="shared" si="1"/>
        <v>5.7000000000000028</v>
      </c>
      <c r="I39" s="14">
        <f t="shared" si="2"/>
        <v>5.7000000000000028</v>
      </c>
      <c r="J39" s="14"/>
      <c r="K39" s="14">
        <v>61.4</v>
      </c>
      <c r="L39" s="14">
        <v>56.2</v>
      </c>
      <c r="M39" s="14">
        <f t="shared" si="3"/>
        <v>5.1999999999999957</v>
      </c>
      <c r="N39" s="14">
        <f t="shared" si="4"/>
        <v>-18.800000000000004</v>
      </c>
      <c r="O39" s="14">
        <f t="shared" si="5"/>
        <v>18.800000000000004</v>
      </c>
      <c r="S39" s="6">
        <v>16</v>
      </c>
      <c r="T39" s="6">
        <v>10</v>
      </c>
      <c r="U39" s="6">
        <v>0</v>
      </c>
      <c r="V39" s="6">
        <v>0</v>
      </c>
      <c r="W39" s="6">
        <v>0</v>
      </c>
      <c r="Y39" s="6">
        <f t="shared" si="6"/>
        <v>34650</v>
      </c>
    </row>
    <row r="40" spans="2:25">
      <c r="H40" s="1" t="s">
        <v>55</v>
      </c>
      <c r="I40" s="17">
        <f>AVERAGE(I4:I39)</f>
        <v>4.4333333333333327</v>
      </c>
      <c r="J40" s="8"/>
      <c r="K40" s="8"/>
      <c r="L40" s="8"/>
      <c r="M40" s="8"/>
      <c r="N40" s="8"/>
      <c r="O40" s="17">
        <f>AVERAGE(O4:O39)</f>
        <v>10.349999999999998</v>
      </c>
    </row>
  </sheetData>
  <sortState ref="B3:Y37">
    <sortCondition ref="Y3:Y37"/>
  </sortState>
  <mergeCells count="2">
    <mergeCell ref="E2:F2"/>
    <mergeCell ref="K2:L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Heats of Vaporization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2020-06-10T19:00:42Z</dcterms:modified>
</cp:coreProperties>
</file>