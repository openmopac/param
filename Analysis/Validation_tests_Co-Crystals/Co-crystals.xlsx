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45" windowWidth="28590" windowHeight="14205"/>
  </bookViews>
  <sheets>
    <sheet name="Co-Crystals" sheetId="1" r:id="rId1"/>
    <sheet name="Precursers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D8" i="1"/>
  <c r="I4"/>
  <c r="I5"/>
  <c r="I12"/>
  <c r="H23"/>
  <c r="I23" s="1"/>
  <c r="H22"/>
  <c r="I22" s="1"/>
  <c r="H21"/>
  <c r="I21" s="1"/>
  <c r="H20"/>
  <c r="I20" s="1"/>
  <c r="H19"/>
  <c r="I19" s="1"/>
  <c r="H18"/>
  <c r="I18" s="1"/>
  <c r="H17"/>
  <c r="I17" s="1"/>
  <c r="H16"/>
  <c r="I16" s="1"/>
  <c r="H15"/>
  <c r="I15" s="1"/>
  <c r="H14"/>
  <c r="I14" s="1"/>
  <c r="H13"/>
  <c r="I13" s="1"/>
  <c r="H12"/>
  <c r="H11"/>
  <c r="I11" s="1"/>
  <c r="H10"/>
  <c r="I10" s="1"/>
  <c r="H9"/>
  <c r="I9" s="1"/>
  <c r="H8"/>
  <c r="I8" s="1"/>
  <c r="H7"/>
  <c r="I7" s="1"/>
  <c r="H6"/>
  <c r="I6" s="1"/>
  <c r="H5"/>
  <c r="H4"/>
  <c r="H3"/>
  <c r="I3" s="1"/>
  <c r="D23"/>
  <c r="E23" s="1"/>
  <c r="D22"/>
  <c r="E22" s="1"/>
  <c r="D21"/>
  <c r="E21" s="1"/>
  <c r="D20"/>
  <c r="E20" s="1"/>
  <c r="D19"/>
  <c r="E19" s="1"/>
  <c r="D18"/>
  <c r="E18" s="1"/>
  <c r="D17"/>
  <c r="E17" s="1"/>
  <c r="D16"/>
  <c r="E16" s="1"/>
  <c r="D15"/>
  <c r="E15" s="1"/>
  <c r="D14"/>
  <c r="E14" s="1"/>
  <c r="D13"/>
  <c r="E13" s="1"/>
  <c r="D12"/>
  <c r="E12" s="1"/>
  <c r="D11"/>
  <c r="E11" s="1"/>
  <c r="D10"/>
  <c r="E10" s="1"/>
  <c r="D9"/>
  <c r="E9" s="1"/>
  <c r="E8"/>
  <c r="D7"/>
  <c r="E7" s="1"/>
  <c r="D6"/>
  <c r="E6" s="1"/>
  <c r="D5"/>
  <c r="E5" s="1"/>
  <c r="D4"/>
  <c r="E4" s="1"/>
  <c r="D3"/>
  <c r="E3" s="1"/>
</calcChain>
</file>

<file path=xl/sharedStrings.xml><?xml version="1.0" encoding="utf-8"?>
<sst xmlns="http://schemas.openxmlformats.org/spreadsheetml/2006/main" count="60" uniqueCount="58">
  <si>
    <t>Caprolactam</t>
  </si>
  <si>
    <t>Precursor</t>
  </si>
  <si>
    <t>Co-Crystal</t>
  </si>
  <si>
    <t>4,4'-Biphenol bis(caprolactam) (KEWZUI)</t>
  </si>
  <si>
    <t>PM7 Heat of Formation of precusor</t>
  </si>
  <si>
    <t>Exp. Heat of Formation of precusor</t>
  </si>
  <si>
    <t>4,4'-Biphenol</t>
  </si>
  <si>
    <t>PM7 Heat of Formation of Co-crystal</t>
  </si>
  <si>
    <t>PM7 Heat of Formation of precusors</t>
  </si>
  <si>
    <t>PM7 Energy of Co-Crystal</t>
  </si>
  <si>
    <t>Bis(Pyridinium) oxalate oxalic acid (DEFCUM)</t>
  </si>
  <si>
    <t>Pyridine</t>
  </si>
  <si>
    <t>Oxalic acid</t>
  </si>
  <si>
    <t>Cinnamic acid 3-nitrobenzamide (OPUSOI)</t>
  </si>
  <si>
    <t>Cinnamic acid</t>
  </si>
  <si>
    <t>3-Nitrobenzamide</t>
  </si>
  <si>
    <t>Carbamazepine isonicotinamide (LOFKIB01)</t>
  </si>
  <si>
    <t xml:space="preserve">Carbamazepine </t>
  </si>
  <si>
    <t xml:space="preserve">Isonicotinamide </t>
  </si>
  <si>
    <t>Resorcinol bis(caprolactam) (QQQGHM01)</t>
  </si>
  <si>
    <t>Resorcinol</t>
  </si>
  <si>
    <t>4-(Dimethylamino)pyridinium hydrogen phthalate (GUKVOY)</t>
  </si>
  <si>
    <t>4-(Dimethylamino)pyridine</t>
  </si>
  <si>
    <t>Phthalic acid</t>
  </si>
  <si>
    <t>Oxalic acid dihydrate (OXACDH26)</t>
  </si>
  <si>
    <t>Ice-Ih</t>
  </si>
  <si>
    <t>bis(4-(Dimethylamino)pyridinium) fumarate fumaric acid (GUKWIT)</t>
  </si>
  <si>
    <t>Fumaric acid</t>
  </si>
  <si>
    <t>bis(4-(Dimethylamino)pyridinium) terephthalate (GUKWAL)</t>
  </si>
  <si>
    <t>Terephthalic acid</t>
  </si>
  <si>
    <t>Dipyridinium bis(hydrogen-oxalate) oxalic acid (DUVLUB)</t>
  </si>
  <si>
    <t>Succinic acid bis(urea) (VEJXAJ)</t>
  </si>
  <si>
    <t>Succinic acid</t>
  </si>
  <si>
    <t>Urea</t>
  </si>
  <si>
    <t>4-(Dimethylamino)pyridinium hydrogen maleate (GUKVUE)</t>
  </si>
  <si>
    <t>Maleic acid</t>
  </si>
  <si>
    <t>tris(4,4'-Biphenol) bis(2-aminopyridine) (KEXBAR)</t>
  </si>
  <si>
    <t>o-Aminopyridine</t>
  </si>
  <si>
    <t>bis(Pyridine) fumaric acid (GUKWOZ)</t>
  </si>
  <si>
    <t>Malonic acid bis(isonicotinamide) (ULAWEJ)</t>
  </si>
  <si>
    <t>Malonic acid</t>
  </si>
  <si>
    <t>Aspirin carbamazepine (TAZRAO)</t>
  </si>
  <si>
    <t>Aspirin</t>
  </si>
  <si>
    <t>Isonicotinamide 3-hydroxybenzoic acid (LUNMEM)</t>
  </si>
  <si>
    <t xml:space="preserve">m-Hydroxybenzoic acid </t>
  </si>
  <si>
    <t>Cyanuric acid-Melamine (QACSUI)</t>
  </si>
  <si>
    <t>Cyanuric acid</t>
  </si>
  <si>
    <t>Melamine</t>
  </si>
  <si>
    <t>4-Aminobenzoic acid 4-nitroaniline (RILJEB)</t>
  </si>
  <si>
    <t>p-Aminobenzoic acid</t>
  </si>
  <si>
    <t>p-Nitroaniline</t>
  </si>
  <si>
    <t>4-Hydroxybenzoic acid isonicotinamide (VAKTOR)</t>
  </si>
  <si>
    <t>p-Hydroxybenzoic acid</t>
  </si>
  <si>
    <t>bis(Urea) oxalic acid (UROXAL01)</t>
  </si>
  <si>
    <t>PM6 Heat of Formation of precusor</t>
  </si>
  <si>
    <t>PM6 Heat of Formation of Co-crystal</t>
  </si>
  <si>
    <t>PM6 Heat of Formation of precusors</t>
  </si>
  <si>
    <t>PM6 Energy of Co-Crystal</t>
  </si>
</sst>
</file>

<file path=xl/styles.xml><?xml version="1.0" encoding="utf-8"?>
<styleSheet xmlns="http://schemas.openxmlformats.org/spreadsheetml/2006/main">
  <numFmts count="1">
    <numFmt numFmtId="164" formatCode="0.0"/>
  </numFmts>
  <fonts count="3">
    <font>
      <sz val="11"/>
      <color theme="1"/>
      <name val="Calibri"/>
      <family val="2"/>
      <scheme val="minor"/>
    </font>
    <font>
      <u/>
      <sz val="16.5"/>
      <color theme="10"/>
      <name val="Calibri"/>
      <family val="2"/>
    </font>
    <font>
      <u/>
      <sz val="12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1">
    <xf numFmtId="0" fontId="0" fillId="0" borderId="0" xfId="0"/>
    <xf numFmtId="164" fontId="0" fillId="0" borderId="0" xfId="0" applyNumberFormat="1" applyAlignment="1">
      <alignment horizontal="left" vertical="center" wrapText="1"/>
    </xf>
    <xf numFmtId="164" fontId="0" fillId="0" borderId="0" xfId="0" applyNumberFormat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  <xf numFmtId="164" fontId="0" fillId="0" borderId="1" xfId="0" applyNumberFormat="1" applyBorder="1" applyAlignment="1">
      <alignment horizontal="left" vertical="center" wrapText="1"/>
    </xf>
    <xf numFmtId="164" fontId="0" fillId="0" borderId="0" xfId="0" applyNumberFormat="1" applyBorder="1" applyAlignment="1">
      <alignment horizontal="center" vertical="center" wrapText="1"/>
    </xf>
    <xf numFmtId="164" fontId="0" fillId="0" borderId="2" xfId="0" applyNumberFormat="1" applyBorder="1" applyAlignment="1">
      <alignment horizontal="left" vertical="center" wrapText="1"/>
    </xf>
    <xf numFmtId="164" fontId="0" fillId="0" borderId="2" xfId="0" applyNumberFormat="1" applyBorder="1" applyAlignment="1">
      <alignment horizontal="center" vertical="center" wrapText="1"/>
    </xf>
    <xf numFmtId="164" fontId="0" fillId="0" borderId="0" xfId="0" applyNumberFormat="1" applyBorder="1" applyAlignment="1">
      <alignment horizontal="left" vertical="center" wrapText="1"/>
    </xf>
    <xf numFmtId="0" fontId="2" fillId="0" borderId="0" xfId="1" applyFont="1" applyAlignment="1" applyProtection="1">
      <alignment horizontal="left" vertical="center" wrapText="1"/>
    </xf>
    <xf numFmtId="0" fontId="2" fillId="0" borderId="1" xfId="1" applyFont="1" applyBorder="1" applyAlignment="1" applyProtection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../../OpenMOPAC_NET/PM7_accuracy/data_solids/bis(4-(Dimethylamino)pyridinium)%20fumarate%20fumaric%20acid%20(GUKWIT)_jmol.html" TargetMode="External"/><Relationship Id="rId13" Type="http://schemas.openxmlformats.org/officeDocument/2006/relationships/hyperlink" Target="..\..\OpenMOPAC_NET\PM7_accuracy\data_solids\tris(4,4'-Biphenol)%20bis(2-aminopyridine)%20(KEXBAR)_jmol.html" TargetMode="External"/><Relationship Id="rId18" Type="http://schemas.openxmlformats.org/officeDocument/2006/relationships/hyperlink" Target="../../OpenMOPAC_NET/PM7_accuracy/data_solids/Cyanuric%20acid-Melamine%20(QACSUI)_jmol.html" TargetMode="External"/><Relationship Id="rId3" Type="http://schemas.openxmlformats.org/officeDocument/2006/relationships/hyperlink" Target="../../OpenMOPAC_NET/PM7_accuracy/data_solids/Cinnamic%20acid%203-nitrobenzamide%20(OPUSOI)_jmol.html" TargetMode="External"/><Relationship Id="rId21" Type="http://schemas.openxmlformats.org/officeDocument/2006/relationships/hyperlink" Target="../../OpenMOPAC_NET/PM7_accuracy/data_solids/bis(Urea)%20oxalic%20acid%20(UROXAL01)_jmol.html" TargetMode="External"/><Relationship Id="rId7" Type="http://schemas.openxmlformats.org/officeDocument/2006/relationships/hyperlink" Target="../../OpenMOPAC_NET/PM7_accuracy/data_solids/Oxalic%20acid%20dihydrate%20(OXACDH26)_jmol.html" TargetMode="External"/><Relationship Id="rId12" Type="http://schemas.openxmlformats.org/officeDocument/2006/relationships/hyperlink" Target="../../OpenMOPAC_NET/PM7_accuracy/data_solids/4-(Dimethylamino)pyridinium%20hydrogen%20maleate%20(GUKVUE)_jmol.html" TargetMode="External"/><Relationship Id="rId17" Type="http://schemas.openxmlformats.org/officeDocument/2006/relationships/hyperlink" Target="../../OpenMOPAC_NET/PM7_accuracy/data_solids/Isonicotinamide%203-hydroxybenzoic%20acid%20(LUNMEM)_jmol.html" TargetMode="External"/><Relationship Id="rId2" Type="http://schemas.openxmlformats.org/officeDocument/2006/relationships/hyperlink" Target="../../OpenMOPAC_NET/PM7_accuracy/data_solids/bis(Pyridinium)%20oxalate%20oxalic%20acid%20(DEFCUM)_jmol.html" TargetMode="External"/><Relationship Id="rId16" Type="http://schemas.openxmlformats.org/officeDocument/2006/relationships/hyperlink" Target="../../OpenMOPAC_NET/PM7_accuracy/data_solids/Aspirin%20carbamazepine%20(TAZRAO)_jmol.html" TargetMode="External"/><Relationship Id="rId20" Type="http://schemas.openxmlformats.org/officeDocument/2006/relationships/hyperlink" Target="../../OpenMOPAC_NET/PM7_accuracy/data_solids/4-Hydroxybenzoic%20acid%20isonicotinamide%20(VAKTOR)_jmol.html" TargetMode="External"/><Relationship Id="rId1" Type="http://schemas.openxmlformats.org/officeDocument/2006/relationships/hyperlink" Target="../../OpenMOPAC_NET/PM7_accuracy/data_solids/4,4'-Biphenol%20bis(caprolactam)%20(KEWZUI)_jmol.html" TargetMode="External"/><Relationship Id="rId6" Type="http://schemas.openxmlformats.org/officeDocument/2006/relationships/hyperlink" Target="../../OpenMOPAC_NET/PM7_accuracy/data_solids/4-(Dimethylamino)pyridinium%20hydrogen%20phthalate%20(GUKVOY)_jmol.html" TargetMode="External"/><Relationship Id="rId11" Type="http://schemas.openxmlformats.org/officeDocument/2006/relationships/hyperlink" Target="../../OpenMOPAC_NET/PM7_accuracy/data_solids/Succinic%20acid%20bis(urea)%20(VEJXAJ)_jmol.html" TargetMode="External"/><Relationship Id="rId5" Type="http://schemas.openxmlformats.org/officeDocument/2006/relationships/hyperlink" Target="../../OpenMOPAC_NET/PM7_accuracy/data_solids/Resorcinol%20bis(caprolactam)%20(QQQGHM01)_jmol.html" TargetMode="External"/><Relationship Id="rId15" Type="http://schemas.openxmlformats.org/officeDocument/2006/relationships/hyperlink" Target="../../OpenMOPAC_NET/PM7_accuracy/data_solids/Malonic%20acid%20bis(isonicotinamide)%20(ULAWEJ)_jmol.html" TargetMode="External"/><Relationship Id="rId10" Type="http://schemas.openxmlformats.org/officeDocument/2006/relationships/hyperlink" Target="../../OpenMOPAC_NET/PM7_accuracy/data_solids/Dipyridinium%20bis(hydrogen-oxalate)%20oxalic%20acid%20(DUVLUB)_jmol.html" TargetMode="External"/><Relationship Id="rId19" Type="http://schemas.openxmlformats.org/officeDocument/2006/relationships/hyperlink" Target="../../OpenMOPAC_NET/PM7_accuracy/data_solids/4-Aminobenzoic%20acid%204-nitroaniline%20(RILJEB)_jmol.html" TargetMode="External"/><Relationship Id="rId4" Type="http://schemas.openxmlformats.org/officeDocument/2006/relationships/hyperlink" Target="../../OpenMOPAC_NET/PM7_accuracy/data_solids/Carbamazepine%20isonicotinamide%20(LOFKIB01)_jmol.html" TargetMode="External"/><Relationship Id="rId9" Type="http://schemas.openxmlformats.org/officeDocument/2006/relationships/hyperlink" Target="../../OpenMOPAC_NET/PM7_accuracy/data_solids/bis(4-(Dimethylamino)pyridinium)%20terephthalate%20(GUKWAL)_jmol.html" TargetMode="External"/><Relationship Id="rId14" Type="http://schemas.openxmlformats.org/officeDocument/2006/relationships/hyperlink" Target="../../OpenMOPAC_NET/PM7_accuracy/data_solids/bis(Pyridine)%20fumaric%20acid%20(GUKWOZ)_jmol.html" TargetMode="External"/><Relationship Id="rId22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J51"/>
  <sheetViews>
    <sheetView tabSelected="1" zoomScale="120" zoomScaleNormal="120" workbookViewId="0">
      <selection activeCell="C3" sqref="C3:E23"/>
    </sheetView>
  </sheetViews>
  <sheetFormatPr defaultRowHeight="15"/>
  <cols>
    <col min="1" max="1" width="9.140625" style="2"/>
    <col min="2" max="2" width="73.85546875" style="1" customWidth="1"/>
    <col min="3" max="7" width="13.28515625" style="2" customWidth="1"/>
    <col min="8" max="8" width="13.28515625" style="1" customWidth="1"/>
    <col min="9" max="11" width="13.28515625" style="2" customWidth="1"/>
    <col min="12" max="16384" width="9.140625" style="2"/>
  </cols>
  <sheetData>
    <row r="1" spans="2:9">
      <c r="B1" s="4"/>
      <c r="C1" s="3"/>
      <c r="D1" s="3"/>
      <c r="E1" s="3"/>
      <c r="F1" s="5"/>
      <c r="G1" s="3"/>
      <c r="H1" s="4"/>
      <c r="I1" s="3"/>
    </row>
    <row r="2" spans="2:9" ht="48.75" customHeight="1">
      <c r="B2" s="3" t="s">
        <v>2</v>
      </c>
      <c r="C2" s="3" t="s">
        <v>7</v>
      </c>
      <c r="D2" s="3" t="s">
        <v>8</v>
      </c>
      <c r="E2" s="3" t="s">
        <v>9</v>
      </c>
      <c r="F2" s="5"/>
      <c r="G2" s="3" t="s">
        <v>55</v>
      </c>
      <c r="H2" s="3" t="s">
        <v>56</v>
      </c>
      <c r="I2" s="3" t="s">
        <v>57</v>
      </c>
    </row>
    <row r="3" spans="2:9" ht="15" customHeight="1">
      <c r="B3" s="9" t="s">
        <v>3</v>
      </c>
      <c r="C3" s="2">
        <v>-268.10000000000002</v>
      </c>
      <c r="D3" s="2">
        <f>D27+2*D26</f>
        <v>-241.2</v>
      </c>
      <c r="E3" s="2">
        <f t="shared" ref="E3:E23" si="0">C3-D3</f>
        <v>-26.900000000000034</v>
      </c>
      <c r="G3" s="2">
        <v>-207.7</v>
      </c>
      <c r="H3" s="2">
        <f>E27+2*E26</f>
        <v>-207.2</v>
      </c>
      <c r="I3" s="2">
        <f t="shared" ref="I3:I23" si="1">G3-H3</f>
        <v>-0.5</v>
      </c>
    </row>
    <row r="4" spans="2:9" ht="15" customHeight="1">
      <c r="B4" s="9" t="s">
        <v>10</v>
      </c>
      <c r="C4" s="2">
        <v>-365.1</v>
      </c>
      <c r="D4" s="2">
        <f>2*D28+2*D29</f>
        <v>-350.40000000000003</v>
      </c>
      <c r="E4" s="2">
        <f t="shared" si="0"/>
        <v>-14.699999999999989</v>
      </c>
      <c r="G4" s="2">
        <v>-326.7</v>
      </c>
      <c r="H4" s="2">
        <f>2*E28+2*E29</f>
        <v>-294.20000000000005</v>
      </c>
      <c r="I4" s="2">
        <f t="shared" si="1"/>
        <v>-32.499999999999943</v>
      </c>
    </row>
    <row r="5" spans="2:9" ht="15" customHeight="1">
      <c r="B5" s="9" t="s">
        <v>13</v>
      </c>
      <c r="C5" s="2">
        <v>-150.4</v>
      </c>
      <c r="D5" s="2">
        <f>D30+D31</f>
        <v>-128</v>
      </c>
      <c r="E5" s="2">
        <f t="shared" si="0"/>
        <v>-22.400000000000006</v>
      </c>
      <c r="G5" s="2">
        <v>-106.3</v>
      </c>
      <c r="H5" s="2">
        <f>E30+E31</f>
        <v>-102.7</v>
      </c>
      <c r="I5" s="2">
        <f t="shared" si="1"/>
        <v>-3.5999999999999943</v>
      </c>
    </row>
    <row r="6" spans="2:9" ht="15" customHeight="1">
      <c r="B6" s="9" t="s">
        <v>16</v>
      </c>
      <c r="C6" s="2">
        <v>-58.5</v>
      </c>
      <c r="D6" s="2">
        <f>D32+D33</f>
        <v>-58.2</v>
      </c>
      <c r="E6" s="2">
        <f t="shared" si="0"/>
        <v>-0.29999999999999716</v>
      </c>
      <c r="G6" s="2">
        <v>-7.6</v>
      </c>
      <c r="H6" s="2">
        <f>E32+E33</f>
        <v>-8.6999999999999993</v>
      </c>
      <c r="I6" s="2">
        <f t="shared" si="1"/>
        <v>1.0999999999999996</v>
      </c>
    </row>
    <row r="7" spans="2:9" ht="15" customHeight="1">
      <c r="B7" s="9" t="s">
        <v>19</v>
      </c>
      <c r="C7" s="2">
        <v>-256.5</v>
      </c>
      <c r="D7" s="2">
        <f>D34+2*D26</f>
        <v>-250.7</v>
      </c>
      <c r="E7" s="2">
        <f t="shared" si="0"/>
        <v>-5.8000000000000114</v>
      </c>
      <c r="G7" s="2">
        <v>-231.2</v>
      </c>
      <c r="H7" s="2">
        <f>E34+2*E26</f>
        <v>-230.60000000000002</v>
      </c>
      <c r="I7" s="2">
        <f t="shared" si="1"/>
        <v>-0.59999999999996589</v>
      </c>
    </row>
    <row r="8" spans="2:9" ht="15" customHeight="1">
      <c r="B8" s="9" t="s">
        <v>21</v>
      </c>
      <c r="C8" s="2">
        <v>-199.4</v>
      </c>
      <c r="D8" s="2">
        <f>D35+D36</f>
        <v>-178.9</v>
      </c>
      <c r="E8" s="2">
        <f t="shared" si="0"/>
        <v>-20.5</v>
      </c>
      <c r="G8" s="2">
        <v>-150.30000000000001</v>
      </c>
      <c r="H8" s="2">
        <f>E35+E36</f>
        <v>-141.79999999999998</v>
      </c>
      <c r="I8" s="2">
        <f t="shared" si="1"/>
        <v>-8.5000000000000284</v>
      </c>
    </row>
    <row r="9" spans="2:9" ht="15" customHeight="1">
      <c r="B9" s="9" t="s">
        <v>24</v>
      </c>
      <c r="C9" s="2">
        <v>-332.9</v>
      </c>
      <c r="D9" s="2">
        <f>D29+2*D37</f>
        <v>-339.8</v>
      </c>
      <c r="E9" s="2">
        <f t="shared" si="0"/>
        <v>6.9000000000000341</v>
      </c>
      <c r="G9" s="2">
        <v>-318.3</v>
      </c>
      <c r="H9" s="2">
        <f>E29+2*E37</f>
        <v>-305</v>
      </c>
      <c r="I9" s="2">
        <f t="shared" si="1"/>
        <v>-13.300000000000011</v>
      </c>
    </row>
    <row r="10" spans="2:9" ht="15" customHeight="1">
      <c r="B10" s="9" t="s">
        <v>26</v>
      </c>
      <c r="C10" s="2">
        <v>-380.8</v>
      </c>
      <c r="D10" s="2">
        <f>2*D35+2*D38</f>
        <v>-377.40000000000003</v>
      </c>
      <c r="E10" s="2">
        <f t="shared" si="0"/>
        <v>-3.3999999999999773</v>
      </c>
      <c r="G10" s="2">
        <v>-332.5</v>
      </c>
      <c r="H10" s="2">
        <f>2*E35+2*E38</f>
        <v>-307.59999999999997</v>
      </c>
      <c r="I10" s="2">
        <f t="shared" si="1"/>
        <v>-24.900000000000034</v>
      </c>
    </row>
    <row r="11" spans="2:9" ht="15" customHeight="1">
      <c r="B11" s="9" t="s">
        <v>28</v>
      </c>
      <c r="C11" s="2">
        <v>-181.9</v>
      </c>
      <c r="D11" s="2">
        <f>2*D35+D39</f>
        <v>-177.9</v>
      </c>
      <c r="E11" s="2">
        <f t="shared" si="0"/>
        <v>-4</v>
      </c>
      <c r="G11" s="2">
        <v>-138.69999999999999</v>
      </c>
      <c r="H11" s="2">
        <f>2*E35+E39</f>
        <v>-123.10000000000001</v>
      </c>
      <c r="I11" s="2">
        <f t="shared" si="1"/>
        <v>-15.59999999999998</v>
      </c>
    </row>
    <row r="12" spans="2:9" ht="15" customHeight="1">
      <c r="B12" s="9" t="s">
        <v>30</v>
      </c>
      <c r="C12" s="2">
        <v>-557.6</v>
      </c>
      <c r="D12" s="2">
        <f>2*D28+3*D29</f>
        <v>-540.80000000000007</v>
      </c>
      <c r="E12" s="2">
        <f t="shared" si="0"/>
        <v>-16.799999999999955</v>
      </c>
      <c r="G12" s="2">
        <v>-506.7</v>
      </c>
      <c r="H12" s="2">
        <f>2*E28+3*E29</f>
        <v>-470.00000000000011</v>
      </c>
      <c r="I12" s="2">
        <f t="shared" si="1"/>
        <v>-36.699999999999875</v>
      </c>
    </row>
    <row r="13" spans="2:9" ht="15" customHeight="1">
      <c r="B13" s="9" t="s">
        <v>31</v>
      </c>
      <c r="C13" s="2">
        <v>-382.7</v>
      </c>
      <c r="D13" s="2">
        <f>D40+2*D41</f>
        <v>-373.2</v>
      </c>
      <c r="E13" s="2">
        <f t="shared" si="0"/>
        <v>-9.5</v>
      </c>
      <c r="G13" s="2">
        <v>-347</v>
      </c>
      <c r="H13" s="2">
        <f>E40+2*E41</f>
        <v>-343.1</v>
      </c>
      <c r="I13" s="2">
        <f t="shared" si="1"/>
        <v>-3.8999999999999773</v>
      </c>
    </row>
    <row r="14" spans="2:9" ht="15" customHeight="1">
      <c r="B14" s="9" t="s">
        <v>34</v>
      </c>
      <c r="C14" s="2">
        <v>-189.1</v>
      </c>
      <c r="D14" s="2">
        <f>D35+D42</f>
        <v>-179.20000000000002</v>
      </c>
      <c r="E14" s="2">
        <f t="shared" si="0"/>
        <v>-9.8999999999999773</v>
      </c>
      <c r="G14" s="2">
        <v>-165</v>
      </c>
      <c r="H14" s="2">
        <f>E35+E42</f>
        <v>-148.69999999999999</v>
      </c>
      <c r="I14" s="2">
        <f t="shared" si="1"/>
        <v>-16.300000000000011</v>
      </c>
    </row>
    <row r="15" spans="2:9" ht="15" customHeight="1">
      <c r="B15" s="9" t="s">
        <v>36</v>
      </c>
      <c r="C15" s="2">
        <v>-244.9</v>
      </c>
      <c r="D15" s="2">
        <f>3*D27+2*D43</f>
        <v>-235.99999999999997</v>
      </c>
      <c r="E15" s="2">
        <f t="shared" si="0"/>
        <v>-8.9000000000000341</v>
      </c>
      <c r="G15" s="2">
        <v>-124.1</v>
      </c>
      <c r="H15" s="2">
        <f>3*E27+2*E43</f>
        <v>-124.59999999999998</v>
      </c>
      <c r="I15" s="2">
        <f t="shared" si="1"/>
        <v>0.49999999999998579</v>
      </c>
    </row>
    <row r="16" spans="2:9" ht="15" customHeight="1">
      <c r="B16" s="9" t="s">
        <v>38</v>
      </c>
      <c r="C16" s="2">
        <v>-167.8</v>
      </c>
      <c r="D16" s="2">
        <f>2*D28+D38</f>
        <v>-160.4</v>
      </c>
      <c r="E16" s="2">
        <f t="shared" si="0"/>
        <v>-7.4000000000000057</v>
      </c>
      <c r="G16" s="2">
        <v>-124.8</v>
      </c>
      <c r="H16" s="2">
        <f>2*E28+E38</f>
        <v>-119.29999999999998</v>
      </c>
      <c r="I16" s="2">
        <f t="shared" si="1"/>
        <v>-5.5000000000000142</v>
      </c>
    </row>
    <row r="17" spans="2:10" ht="15" customHeight="1">
      <c r="B17" s="9" t="s">
        <v>39</v>
      </c>
      <c r="C17" s="2">
        <v>-291.8</v>
      </c>
      <c r="D17" s="2">
        <f>D44+2*D33</f>
        <v>-286.20000000000005</v>
      </c>
      <c r="E17" s="2">
        <f t="shared" si="0"/>
        <v>-5.5999999999999659</v>
      </c>
      <c r="G17" s="2">
        <v>-252</v>
      </c>
      <c r="H17" s="2">
        <f>E44+2*E33</f>
        <v>-244.1</v>
      </c>
      <c r="I17" s="2">
        <f t="shared" si="1"/>
        <v>-7.9000000000000057</v>
      </c>
    </row>
    <row r="18" spans="2:10" ht="15" customHeight="1">
      <c r="B18" s="9" t="s">
        <v>41</v>
      </c>
      <c r="C18" s="2">
        <v>-203.9</v>
      </c>
      <c r="D18" s="2">
        <f>D45+D32</f>
        <v>-203.3</v>
      </c>
      <c r="E18" s="2">
        <f t="shared" si="0"/>
        <v>-0.59999999999999432</v>
      </c>
      <c r="G18" s="2">
        <v>-151.1</v>
      </c>
      <c r="H18" s="2">
        <f>E45+E32</f>
        <v>-152</v>
      </c>
      <c r="I18" s="2">
        <f t="shared" si="1"/>
        <v>0.90000000000000568</v>
      </c>
    </row>
    <row r="19" spans="2:10" ht="15" customHeight="1">
      <c r="B19" s="9" t="s">
        <v>43</v>
      </c>
      <c r="C19" s="2">
        <v>-184.2</v>
      </c>
      <c r="D19" s="2">
        <f>D33+D46</f>
        <v>-181.5</v>
      </c>
      <c r="E19" s="2">
        <f t="shared" si="0"/>
        <v>-2.6999999999999886</v>
      </c>
      <c r="G19" s="2">
        <v>-145.6</v>
      </c>
      <c r="H19" s="2">
        <f>E33+E46</f>
        <v>-147.80000000000001</v>
      </c>
      <c r="I19" s="2">
        <f t="shared" si="1"/>
        <v>2.2000000000000171</v>
      </c>
    </row>
    <row r="20" spans="2:10" ht="15.75">
      <c r="B20" s="9" t="s">
        <v>45</v>
      </c>
      <c r="C20" s="2">
        <v>-176.8</v>
      </c>
      <c r="D20" s="2">
        <f>D47+D48</f>
        <v>-175.1</v>
      </c>
      <c r="E20" s="2">
        <f t="shared" si="0"/>
        <v>-1.7000000000000171</v>
      </c>
      <c r="G20" s="2">
        <v>-130.9</v>
      </c>
      <c r="H20" s="2">
        <f>E47+E48</f>
        <v>-123.9</v>
      </c>
      <c r="I20" s="2">
        <f t="shared" si="1"/>
        <v>-7</v>
      </c>
    </row>
    <row r="21" spans="2:10" ht="15.75">
      <c r="B21" s="9" t="s">
        <v>48</v>
      </c>
      <c r="C21" s="2">
        <v>-116.5</v>
      </c>
      <c r="D21" s="2">
        <f>D49+D50</f>
        <v>-113.19999999999999</v>
      </c>
      <c r="E21" s="2">
        <f t="shared" si="0"/>
        <v>-3.3000000000000114</v>
      </c>
      <c r="G21" s="2">
        <v>-86.6</v>
      </c>
      <c r="H21" s="2">
        <f>E49+E50</f>
        <v>-86.7</v>
      </c>
      <c r="I21" s="2">
        <f t="shared" si="1"/>
        <v>0.10000000000000853</v>
      </c>
    </row>
    <row r="22" spans="2:10" ht="15.75">
      <c r="B22" s="9" t="s">
        <v>51</v>
      </c>
      <c r="C22" s="2">
        <v>-188.2</v>
      </c>
      <c r="D22" s="2">
        <f>D51+D33</f>
        <v>-182.5</v>
      </c>
      <c r="E22" s="2">
        <f t="shared" si="0"/>
        <v>-5.6999999999999886</v>
      </c>
      <c r="G22" s="2">
        <v>-149.1</v>
      </c>
      <c r="H22" s="2">
        <f>E51+E33</f>
        <v>-147.80000000000001</v>
      </c>
      <c r="I22" s="2">
        <f t="shared" si="1"/>
        <v>-1.2999999999999829</v>
      </c>
    </row>
    <row r="23" spans="2:10" ht="15.75">
      <c r="B23" s="10" t="s">
        <v>53</v>
      </c>
      <c r="C23" s="3">
        <v>-354.8</v>
      </c>
      <c r="D23" s="3">
        <f>2*D41+D29</f>
        <v>-345.6</v>
      </c>
      <c r="E23" s="3">
        <f t="shared" si="0"/>
        <v>-9.1999999999999886</v>
      </c>
      <c r="G23" s="3">
        <v>-313.8</v>
      </c>
      <c r="H23" s="3">
        <f>2*E41+E29</f>
        <v>-307.20000000000005</v>
      </c>
      <c r="I23" s="3">
        <f t="shared" si="1"/>
        <v>-6.5999999999999659</v>
      </c>
    </row>
    <row r="24" spans="2:10">
      <c r="H24" s="8"/>
      <c r="I24" s="5"/>
      <c r="J24" s="5"/>
    </row>
    <row r="25" spans="2:10" ht="45">
      <c r="B25" s="6" t="s">
        <v>1</v>
      </c>
      <c r="C25" s="7" t="s">
        <v>5</v>
      </c>
      <c r="D25" s="7" t="s">
        <v>4</v>
      </c>
      <c r="E25" s="7" t="s">
        <v>54</v>
      </c>
      <c r="F25" s="5"/>
      <c r="H25" s="2"/>
    </row>
    <row r="26" spans="2:10">
      <c r="B26" s="1" t="s">
        <v>0</v>
      </c>
      <c r="C26" s="2">
        <v>-78.7</v>
      </c>
      <c r="D26" s="2">
        <v>-80.7</v>
      </c>
      <c r="E26" s="2">
        <v>-75.7</v>
      </c>
      <c r="H26" s="2"/>
    </row>
    <row r="27" spans="2:10">
      <c r="B27" s="1" t="s">
        <v>6</v>
      </c>
      <c r="D27" s="2">
        <v>-79.8</v>
      </c>
      <c r="E27" s="2">
        <v>-55.8</v>
      </c>
      <c r="H27" s="2"/>
    </row>
    <row r="28" spans="2:10">
      <c r="B28" s="1" t="s">
        <v>11</v>
      </c>
      <c r="D28" s="2">
        <v>15.2</v>
      </c>
      <c r="E28" s="2">
        <v>28.7</v>
      </c>
      <c r="H28" s="2"/>
    </row>
    <row r="29" spans="2:10">
      <c r="B29" s="1" t="s">
        <v>12</v>
      </c>
      <c r="D29" s="2">
        <v>-190.4</v>
      </c>
      <c r="E29" s="2">
        <v>-175.8</v>
      </c>
      <c r="H29" s="2"/>
    </row>
    <row r="30" spans="2:10">
      <c r="B30" s="1" t="s">
        <v>14</v>
      </c>
      <c r="C30" s="2">
        <v>-77.8</v>
      </c>
      <c r="D30" s="2">
        <v>-78.7</v>
      </c>
      <c r="E30" s="2">
        <v>-63.1</v>
      </c>
      <c r="H30" s="2"/>
    </row>
    <row r="31" spans="2:10">
      <c r="B31" s="1" t="s">
        <v>15</v>
      </c>
      <c r="D31" s="2">
        <v>-49.3</v>
      </c>
      <c r="E31" s="2">
        <v>-39.6</v>
      </c>
      <c r="H31" s="2"/>
    </row>
    <row r="32" spans="2:10">
      <c r="B32" s="1" t="s">
        <v>17</v>
      </c>
      <c r="D32" s="2">
        <v>-18.5</v>
      </c>
      <c r="E32" s="2">
        <v>13.3</v>
      </c>
      <c r="H32" s="2"/>
    </row>
    <row r="33" spans="2:8">
      <c r="B33" s="1" t="s">
        <v>18</v>
      </c>
      <c r="D33" s="2">
        <v>-39.700000000000003</v>
      </c>
      <c r="E33" s="2">
        <v>-22</v>
      </c>
      <c r="H33" s="2"/>
    </row>
    <row r="34" spans="2:8">
      <c r="B34" s="1" t="s">
        <v>20</v>
      </c>
      <c r="C34" s="2">
        <v>-88.6</v>
      </c>
      <c r="D34" s="2">
        <v>-89.3</v>
      </c>
      <c r="E34" s="2">
        <v>-79.2</v>
      </c>
      <c r="H34" s="2"/>
    </row>
    <row r="35" spans="2:8">
      <c r="B35" s="1" t="s">
        <v>22</v>
      </c>
      <c r="D35" s="2">
        <v>2.1</v>
      </c>
      <c r="E35" s="2">
        <v>22.9</v>
      </c>
      <c r="H35" s="2"/>
    </row>
    <row r="36" spans="2:8">
      <c r="B36" s="1" t="s">
        <v>23</v>
      </c>
      <c r="C36" s="2">
        <v>-186.9</v>
      </c>
      <c r="D36" s="2">
        <v>-181</v>
      </c>
      <c r="E36" s="2">
        <v>-164.7</v>
      </c>
      <c r="H36" s="2"/>
    </row>
    <row r="37" spans="2:8">
      <c r="B37" s="1" t="s">
        <v>25</v>
      </c>
      <c r="C37" s="2">
        <v>-69.7</v>
      </c>
      <c r="D37" s="2">
        <v>-74.7</v>
      </c>
      <c r="E37" s="2">
        <v>-64.599999999999994</v>
      </c>
      <c r="H37" s="2"/>
    </row>
    <row r="38" spans="2:8">
      <c r="B38" s="1" t="s">
        <v>27</v>
      </c>
      <c r="C38" s="2">
        <v>-193.6</v>
      </c>
      <c r="D38" s="2">
        <v>-190.8</v>
      </c>
      <c r="E38" s="2">
        <v>-176.7</v>
      </c>
      <c r="H38" s="2"/>
    </row>
    <row r="39" spans="2:8">
      <c r="B39" s="1" t="s">
        <v>29</v>
      </c>
      <c r="C39" s="2">
        <v>-195.1</v>
      </c>
      <c r="D39" s="2">
        <v>-182.1</v>
      </c>
      <c r="E39" s="2">
        <v>-168.9</v>
      </c>
      <c r="H39" s="2"/>
    </row>
    <row r="40" spans="2:8">
      <c r="B40" s="1" t="s">
        <v>32</v>
      </c>
      <c r="C40" s="2">
        <v>-224.7</v>
      </c>
      <c r="D40" s="2">
        <v>-218</v>
      </c>
      <c r="E40" s="2">
        <v>-211.7</v>
      </c>
      <c r="H40" s="2"/>
    </row>
    <row r="41" spans="2:8">
      <c r="B41" s="1" t="s">
        <v>33</v>
      </c>
      <c r="C41" s="2">
        <v>-79.7</v>
      </c>
      <c r="D41" s="2">
        <v>-77.599999999999994</v>
      </c>
      <c r="E41" s="2">
        <v>-65.7</v>
      </c>
      <c r="H41" s="2"/>
    </row>
    <row r="42" spans="2:8">
      <c r="B42" s="1" t="s">
        <v>35</v>
      </c>
      <c r="C42" s="2">
        <v>-189</v>
      </c>
      <c r="D42" s="2">
        <v>-181.3</v>
      </c>
      <c r="E42" s="2">
        <v>-171.6</v>
      </c>
      <c r="H42" s="2"/>
    </row>
    <row r="43" spans="2:8">
      <c r="B43" s="1" t="s">
        <v>37</v>
      </c>
      <c r="D43" s="2">
        <v>1.7</v>
      </c>
      <c r="E43" s="2">
        <v>21.4</v>
      </c>
      <c r="H43" s="2"/>
    </row>
    <row r="44" spans="2:8">
      <c r="B44" s="1" t="s">
        <v>40</v>
      </c>
      <c r="C44" s="2">
        <v>-213</v>
      </c>
      <c r="D44" s="2">
        <v>-206.8</v>
      </c>
      <c r="E44" s="2">
        <v>-200.1</v>
      </c>
      <c r="H44" s="2"/>
    </row>
    <row r="45" spans="2:8">
      <c r="B45" s="1" t="s">
        <v>42</v>
      </c>
      <c r="C45" s="2">
        <v>-176</v>
      </c>
      <c r="D45" s="2">
        <v>-184.8</v>
      </c>
      <c r="E45" s="2">
        <v>-165.3</v>
      </c>
      <c r="H45" s="2"/>
    </row>
    <row r="46" spans="2:8">
      <c r="B46" s="1" t="s">
        <v>44</v>
      </c>
      <c r="C46" s="2">
        <v>-141.1</v>
      </c>
      <c r="D46" s="2">
        <v>-141.80000000000001</v>
      </c>
      <c r="E46" s="2">
        <v>-125.8</v>
      </c>
      <c r="H46" s="2"/>
    </row>
    <row r="47" spans="2:8">
      <c r="B47" s="1" t="s">
        <v>46</v>
      </c>
      <c r="C47" s="2">
        <v>-168.2</v>
      </c>
      <c r="D47" s="2">
        <v>-164.1</v>
      </c>
      <c r="E47" s="2">
        <v>-147.80000000000001</v>
      </c>
      <c r="H47" s="2"/>
    </row>
    <row r="48" spans="2:8">
      <c r="B48" s="1" t="s">
        <v>47</v>
      </c>
      <c r="C48" s="2">
        <v>-15.8</v>
      </c>
      <c r="D48" s="2">
        <v>-11</v>
      </c>
      <c r="E48" s="2">
        <v>23.9</v>
      </c>
      <c r="H48" s="2"/>
    </row>
    <row r="49" spans="2:8">
      <c r="B49" s="1" t="s">
        <v>49</v>
      </c>
      <c r="C49" s="2">
        <v>-98</v>
      </c>
      <c r="D49" s="2">
        <v>-96.3</v>
      </c>
      <c r="E49" s="2">
        <v>-82.4</v>
      </c>
      <c r="H49" s="2"/>
    </row>
    <row r="50" spans="2:8">
      <c r="B50" s="1" t="s">
        <v>50</v>
      </c>
      <c r="C50" s="2">
        <v>-10.9</v>
      </c>
      <c r="D50" s="2">
        <v>-16.899999999999999</v>
      </c>
      <c r="E50" s="2">
        <v>-4.3</v>
      </c>
      <c r="H50" s="2"/>
    </row>
    <row r="51" spans="2:8">
      <c r="B51" s="4" t="s">
        <v>52</v>
      </c>
      <c r="C51" s="3">
        <v>-145</v>
      </c>
      <c r="D51" s="3">
        <v>-142.80000000000001</v>
      </c>
      <c r="E51" s="3">
        <v>-125.8</v>
      </c>
      <c r="H51" s="2"/>
    </row>
  </sheetData>
  <hyperlinks>
    <hyperlink ref="B3" r:id="rId1" display="../../OpenMOPAC_NET/PM7_accuracy/data_solids/4,4'-Biphenol bis(caprolactam) (KEWZUI)_jmol.html"/>
    <hyperlink ref="B4" r:id="rId2" display="../../OpenMOPAC_NET/PM7_accuracy/data_solids/bis(Pyridinium) oxalate oxalic acid (DEFCUM)_jmol.html"/>
    <hyperlink ref="B5" r:id="rId3" display="../../OpenMOPAC_NET/PM7_accuracy/data_solids/Cinnamic acid 3-nitrobenzamide (OPUSOI)_jmol.html"/>
    <hyperlink ref="B6" r:id="rId4" display="../../OpenMOPAC_NET/PM7_accuracy/data_solids/Carbamazepine isonicotinamide (LOFKIB01)_jmol.html"/>
    <hyperlink ref="B7" r:id="rId5" display="../../OpenMOPAC_NET/PM7_accuracy/data_solids/Resorcinol bis(caprolactam) (QQQGHM01)_jmol.html"/>
    <hyperlink ref="B8" r:id="rId6" display="../../OpenMOPAC_NET/PM7_accuracy/data_solids/4-(Dimethylamino)pyridinium hydrogen phthalate (GUKVOY)_jmol.html"/>
    <hyperlink ref="B9" r:id="rId7" display="../../OpenMOPAC_NET/PM7_accuracy/data_solids/Oxalic acid dihydrate (OXACDH26)_jmol.html"/>
    <hyperlink ref="B10" r:id="rId8" display="../../OpenMOPAC_NET/PM7_accuracy/data_solids/bis(4-(Dimethylamino)pyridinium) fumarate fumaric acid (GUKWIT)_jmol.html"/>
    <hyperlink ref="B11" r:id="rId9" display="../../OpenMOPAC_NET/PM7_accuracy/data_solids/bis(4-(Dimethylamino)pyridinium) terephthalate (GUKWAL)_jmol.html"/>
    <hyperlink ref="B12" r:id="rId10" display="../../OpenMOPAC_NET/PM7_accuracy/data_solids/Dipyridinium bis(hydrogen-oxalate) oxalic acid (DUVLUB)_jmol.html"/>
    <hyperlink ref="B13" r:id="rId11" display="../../OpenMOPAC_NET/PM7_accuracy/data_solids/Succinic acid bis(urea) (VEJXAJ)_jmol.html"/>
    <hyperlink ref="B14" r:id="rId12" display="../../OpenMOPAC_NET/PM7_accuracy/data_solids/4-(Dimethylamino)pyridinium hydrogen maleate (GUKVUE)_jmol.html"/>
    <hyperlink ref="B15" r:id="rId13" display="../../OpenMOPAC_NET/PM7_accuracy/data_solids/tris(4,4'-Biphenol) bis(2-aminopyridine) (KEXBAR)_jmol.html"/>
    <hyperlink ref="B16" r:id="rId14" display="../../OpenMOPAC_NET/PM7_accuracy/data_solids/bis(Pyridine) fumaric acid (GUKWOZ)_jmol.html"/>
    <hyperlink ref="B17" r:id="rId15" display="../../OpenMOPAC_NET/PM7_accuracy/data_solids/Malonic acid bis(isonicotinamide) (ULAWEJ)_jmol.html"/>
    <hyperlink ref="B18" r:id="rId16" display="../../OpenMOPAC_NET/PM7_accuracy/data_solids/Aspirin carbamazepine (TAZRAO)_jmol.html"/>
    <hyperlink ref="B19" r:id="rId17" display="../../OpenMOPAC_NET/PM7_accuracy/data_solids/Isonicotinamide 3-hydroxybenzoic acid (LUNMEM)_jmol.html"/>
    <hyperlink ref="B20" r:id="rId18" display="../../OpenMOPAC_NET/PM7_accuracy/data_solids/Cyanuric acid-Melamine (QACSUI)_jmol.html"/>
    <hyperlink ref="B21" r:id="rId19" display="../../OpenMOPAC_NET/PM7_accuracy/data_solids/4-Aminobenzoic acid 4-nitroaniline (RILJEB)_jmol.html"/>
    <hyperlink ref="B22" r:id="rId20" display="../../OpenMOPAC_NET/PM7_accuracy/data_solids/4-Hydroxybenzoic acid isonicotinamide (VAKTOR)_jmol.html"/>
    <hyperlink ref="B23" r:id="rId21" display="../../OpenMOPAC_NET/PM7_accuracy/data_solids/bis(Urea) oxalic acid (UROXAL01)_jmol.html"/>
  </hyperlinks>
  <pageMargins left="0.7" right="0.7" top="0.75" bottom="0.75" header="0.3" footer="0.3"/>
  <pageSetup orientation="portrait" horizontalDpi="0" verticalDpi="0" r:id="rId2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>
      <selection sqref="A1:A1048576"/>
    </sheetView>
  </sheetViews>
  <sheetFormatPr defaultRowHeight="15"/>
  <cols>
    <col min="1" max="1" width="21.28515625" customWidth="1"/>
  </cols>
  <sheetData>
    <row r="1" spans="1:1">
      <c r="A1" t="s">
        <v>1</v>
      </c>
    </row>
    <row r="2" spans="1:1">
      <c r="A2" t="s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Co-Crystals</vt:lpstr>
      <vt:lpstr>Precursers</vt:lpstr>
      <vt:lpstr>Sheet3</vt:lpstr>
    </vt:vector>
  </TitlesOfParts>
  <Company>SCC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Jimmy</dc:creator>
  <cp:lastModifiedBy>Jimmy</cp:lastModifiedBy>
  <dcterms:created xsi:type="dcterms:W3CDTF">2012-03-29T17:53:10Z</dcterms:created>
  <dcterms:modified xsi:type="dcterms:W3CDTF">2012-06-06T19:12:00Z</dcterms:modified>
</cp:coreProperties>
</file>