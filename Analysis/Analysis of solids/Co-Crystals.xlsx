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20" windowWidth="23955" windowHeight="750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O47" i="1"/>
  <c r="N47"/>
  <c r="N46"/>
  <c r="N6"/>
  <c r="N13"/>
  <c r="N11"/>
  <c r="N23"/>
  <c r="N31"/>
  <c r="N8"/>
  <c r="N5"/>
  <c r="N22"/>
  <c r="N43"/>
  <c r="N40"/>
  <c r="N10"/>
  <c r="N26"/>
  <c r="N28"/>
  <c r="N20"/>
  <c r="N39"/>
  <c r="N24"/>
  <c r="N7"/>
  <c r="N29"/>
  <c r="N21"/>
  <c r="N9"/>
  <c r="N19"/>
  <c r="N12"/>
  <c r="N37"/>
  <c r="N35"/>
  <c r="N34"/>
  <c r="N25"/>
  <c r="N32"/>
  <c r="N18"/>
  <c r="N27"/>
  <c r="N41"/>
  <c r="N14"/>
  <c r="N38"/>
  <c r="N30"/>
  <c r="N44"/>
  <c r="N42"/>
  <c r="N36"/>
  <c r="N15"/>
  <c r="N33"/>
  <c r="N16"/>
  <c r="N4"/>
  <c r="N45"/>
  <c r="N17"/>
</calcChain>
</file>

<file path=xl/sharedStrings.xml><?xml version="1.0" encoding="utf-8"?>
<sst xmlns="http://schemas.openxmlformats.org/spreadsheetml/2006/main" count="190" uniqueCount="100">
  <si>
    <t>Co-Crystal</t>
  </si>
  <si>
    <t>Precursors</t>
  </si>
  <si>
    <t>of</t>
  </si>
  <si>
    <t>Cocrystal</t>
  </si>
  <si>
    <t>Precusors</t>
  </si>
  <si>
    <t>PM7 Energy of Cocrystal</t>
  </si>
  <si>
    <t>PM6-D3H4</t>
  </si>
  <si>
    <t>PM6-D3H4 Energy of Cocrystal</t>
  </si>
  <si>
    <t>1  </t>
  </si>
  <si>
    <t>5-Nitrouracil dioxane</t>
  </si>
  <si>
    <t>A-Jmol</t>
  </si>
  <si>
    <t>B-Jmol</t>
  </si>
  <si>
    <t>2  </t>
  </si>
  <si>
    <t>Nevirapine-glutaric acid</t>
  </si>
  <si>
    <t>3  </t>
  </si>
  <si>
    <t>5-Nitrouracil piperazine</t>
  </si>
  <si>
    <t>4  </t>
  </si>
  <si>
    <t>Nevirapine 1,4-dioxane</t>
  </si>
  <si>
    <t>5  </t>
  </si>
  <si>
    <t>Malonic acid bis(isonicotinamide) (ULAWEJ)</t>
  </si>
  <si>
    <t>6  </t>
  </si>
  <si>
    <t>Aceclofenac hemikis(bipyridine) hydrate</t>
  </si>
  <si>
    <t>7  </t>
  </si>
  <si>
    <t>Aspirin carbamazepine (TAZRAO)</t>
  </si>
  <si>
    <t>8  </t>
  </si>
  <si>
    <t>Nevirapine hemikis(saccharin)</t>
  </si>
  <si>
    <t>9  </t>
  </si>
  <si>
    <t>Carbamazepine Saccharin</t>
  </si>
  <si>
    <t>10  </t>
  </si>
  <si>
    <t>tris(4,4'-Biphenol) bis(2-aminopyridine) (KEXBAR)</t>
  </si>
  <si>
    <t>11  </t>
  </si>
  <si>
    <t>2-Hydroxybenzamide 4-acetoamidobenzoic acid</t>
  </si>
  <si>
    <t>12  </t>
  </si>
  <si>
    <t>Indomethacin nicotinamide</t>
  </si>
  <si>
    <t>13  </t>
  </si>
  <si>
    <t>4,4'-Bipyridyl-racemic tartaric acid</t>
  </si>
  <si>
    <t>14  </t>
  </si>
  <si>
    <t>Succinic acid bis(urea) (VEJXAJ)</t>
  </si>
  <si>
    <t>15  </t>
  </si>
  <si>
    <t>Nevirapine hemikis(salicylic acid)</t>
  </si>
  <si>
    <t>16  </t>
  </si>
  <si>
    <t>Nevirapine hemihydrate</t>
  </si>
  <si>
    <t>17  </t>
  </si>
  <si>
    <t>bis(Pyridine) fumaric acid (GUKWOZ)</t>
  </si>
  <si>
    <t>18  </t>
  </si>
  <si>
    <t>4-Aminobenzoic acid 4-nitroaniline (RILJEB)</t>
  </si>
  <si>
    <t>19  </t>
  </si>
  <si>
    <t>Nevirapine rac-tartaric acid</t>
  </si>
  <si>
    <t>20  </t>
  </si>
  <si>
    <t>Carbamazepine isonicotinamide (LOFKIB01)</t>
  </si>
  <si>
    <t>21  </t>
  </si>
  <si>
    <t>Isonicotinamide 3-hydroxybenzoic acid (LUNMEM)</t>
  </si>
  <si>
    <t>22  </t>
  </si>
  <si>
    <t>5-Nitrouracil monohydrate</t>
  </si>
  <si>
    <t>23  </t>
  </si>
  <si>
    <t>Theophylline isonicotinamide</t>
  </si>
  <si>
    <t>25  </t>
  </si>
  <si>
    <t>Theophylline urea</t>
  </si>
  <si>
    <t>26  </t>
  </si>
  <si>
    <t>Theophylline aspirin</t>
  </si>
  <si>
    <t>27  </t>
  </si>
  <si>
    <t>Fluoxetine hydrochloride benzoic acid</t>
  </si>
  <si>
    <t>28  </t>
  </si>
  <si>
    <t>4-Hydroxybenzoic acid isonicotinamide (VAKTOR)</t>
  </si>
  <si>
    <t>29  </t>
  </si>
  <si>
    <t>Theophylline phthalic acid</t>
  </si>
  <si>
    <t>30  </t>
  </si>
  <si>
    <t>Theophylline 4-aminobenzoic acid</t>
  </si>
  <si>
    <t>33  </t>
  </si>
  <si>
    <t>Indomethacin saccharin</t>
  </si>
  <si>
    <t>34  </t>
  </si>
  <si>
    <t>Cyanuric acid-Melamine (QACSUI)</t>
  </si>
  <si>
    <t>35  </t>
  </si>
  <si>
    <t>Resorcinol bis(caprolactam) (QQQGHM01)</t>
  </si>
  <si>
    <t>36  </t>
  </si>
  <si>
    <t>Theophylline salicylic acid</t>
  </si>
  <si>
    <t>37  </t>
  </si>
  <si>
    <t>Nevirapine-maleic acid</t>
  </si>
  <si>
    <t>38  </t>
  </si>
  <si>
    <t>Fluoxetine hydrochloride succinic acid</t>
  </si>
  <si>
    <t>39  </t>
  </si>
  <si>
    <t>Fluoxetine hydrochloride fumaric acid</t>
  </si>
  <si>
    <t>41  </t>
  </si>
  <si>
    <t>Indomethacin L-proline</t>
  </si>
  <si>
    <t>42  </t>
  </si>
  <si>
    <t>Cinnamic acid 3-nitrobenzamide (OPUSOI)</t>
  </si>
  <si>
    <t>43  </t>
  </si>
  <si>
    <t>bis(Urea) oxalic acid (UROXAL01)</t>
  </si>
  <si>
    <t>46  </t>
  </si>
  <si>
    <t>4,4'-Biphenol bis(caprolactam) (KEWZUI)</t>
  </si>
  <si>
    <t>53  </t>
  </si>
  <si>
    <t>Oxalic acid dihydrate (OXACDH26)</t>
  </si>
  <si>
    <t>54  </t>
  </si>
  <si>
    <t>Indometacine caffeine</t>
  </si>
  <si>
    <t>56  </t>
  </si>
  <si>
    <t>Sildenafil dioxane</t>
  </si>
  <si>
    <t xml:space="preserve">PM7 ΔHf </t>
  </si>
  <si>
    <t>ΔHf   of</t>
  </si>
  <si>
    <t>PPM6-D3H4</t>
  </si>
  <si>
    <t>PM6-D3H4    -    PM7</t>
  </si>
</sst>
</file>

<file path=xl/styles.xml><?xml version="1.0" encoding="utf-8"?>
<styleSheet xmlns="http://schemas.openxmlformats.org/spreadsheetml/2006/main">
  <numFmts count="1">
    <numFmt numFmtId="168" formatCode="0.0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FF008000"/>
      </top>
      <bottom/>
      <diagonal/>
    </border>
    <border>
      <left/>
      <right/>
      <top/>
      <bottom style="thick">
        <color rgb="FF008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0" fillId="0" borderId="0" xfId="0" applyBorder="1" applyAlignment="1">
      <alignment horizontal="center" wrapText="1"/>
    </xf>
    <xf numFmtId="168" fontId="0" fillId="0" borderId="0" xfId="0" applyNumberFormat="1" applyAlignment="1">
      <alignment horizontal="right" wrapText="1" indent="1"/>
    </xf>
    <xf numFmtId="168" fontId="1" fillId="0" borderId="0" xfId="1" applyNumberFormat="1" applyAlignment="1" applyProtection="1">
      <alignment horizontal="right" wrapText="1" indent="1"/>
    </xf>
    <xf numFmtId="168" fontId="0" fillId="0" borderId="0" xfId="0" applyNumberFormat="1" applyAlignment="1">
      <alignment horizontal="right" indent="1"/>
    </xf>
    <xf numFmtId="168" fontId="0" fillId="0" borderId="2" xfId="0" applyNumberFormat="1" applyBorder="1" applyAlignment="1">
      <alignment horizontal="right" wrapText="1" indent="1"/>
    </xf>
    <xf numFmtId="168" fontId="1" fillId="0" borderId="2" xfId="1" applyNumberFormat="1" applyBorder="1" applyAlignment="1" applyProtection="1">
      <alignment horizontal="right" wrapText="1" inden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file:///M:\PARAM\HTML%20Files\data_solids\Carbamazepine__CBMZPN01__Jmol.html" TargetMode="External"/><Relationship Id="rId117" Type="http://schemas.openxmlformats.org/officeDocument/2006/relationships/hyperlink" Target="file:///M:\PARAM\HTML%20Files\data_solids\Oxalic_acid__OXALAC06__Jmol.html" TargetMode="External"/><Relationship Id="rId21" Type="http://schemas.openxmlformats.org/officeDocument/2006/relationships/hyperlink" Target="file:///M:\PARAM\HTML%20Files\data_solids\Carbamazepine__CBMZPN01__Jmol.html" TargetMode="External"/><Relationship Id="rId42" Type="http://schemas.openxmlformats.org/officeDocument/2006/relationships/hyperlink" Target="file:///M:\PARAM\HTML%20Files\data_solids\Urea__UREAXX13__Jmol.html" TargetMode="External"/><Relationship Id="rId47" Type="http://schemas.openxmlformats.org/officeDocument/2006/relationships/hyperlink" Target="file:///M:\PARAM\HTML%20Files\data_solids\Nevirapine_Jmol.html" TargetMode="External"/><Relationship Id="rId63" Type="http://schemas.openxmlformats.org/officeDocument/2006/relationships/hyperlink" Target="file:///M:\PARAM\HTML%20Files\data_solids\m-hydroxybenzoic_acid__BIDLOP__Jmol.html" TargetMode="External"/><Relationship Id="rId68" Type="http://schemas.openxmlformats.org/officeDocument/2006/relationships/hyperlink" Target="file:///M:\PARAM\HTML%20Files\data_solids\Theophylline_Jmol.html" TargetMode="External"/><Relationship Id="rId84" Type="http://schemas.openxmlformats.org/officeDocument/2006/relationships/hyperlink" Target="file:///M:\PARAM\HTML%20Files\data_solids\Phthalic_acid__PHTHAC01__Jmol.html" TargetMode="External"/><Relationship Id="rId89" Type="http://schemas.openxmlformats.org/officeDocument/2006/relationships/hyperlink" Target="file:///M:\PARAM\HTML%20Files\data_solids\Indomethacin_Jmol.html" TargetMode="External"/><Relationship Id="rId112" Type="http://schemas.openxmlformats.org/officeDocument/2006/relationships/hyperlink" Target="file:///M:\PARAM\HTML%20Files\data_solids\Cinnamic_acid_3-nitrobenzamide__OPUSOI__Jmol.html" TargetMode="External"/><Relationship Id="rId16" Type="http://schemas.openxmlformats.org/officeDocument/2006/relationships/hyperlink" Target="file:///M:\PARAM\HTML%20Files\data_solids\Aceclofenac_hemikis_bipyridine__hydrate_Jmol.html" TargetMode="External"/><Relationship Id="rId107" Type="http://schemas.openxmlformats.org/officeDocument/2006/relationships/hyperlink" Target="file:///M:\PARAM\HTML%20Files\data_solids\Fluoxetine_hydrochloride_Jmol.html" TargetMode="External"/><Relationship Id="rId11" Type="http://schemas.openxmlformats.org/officeDocument/2006/relationships/hyperlink" Target="file:///M:\PARAM\HTML%20Files\data_solids\Nevirapine_Jmol.html" TargetMode="External"/><Relationship Id="rId32" Type="http://schemas.openxmlformats.org/officeDocument/2006/relationships/hyperlink" Target="file:///M:\PARAM\HTML%20Files\data_solids\2-hydroxybenzamide__Salicylamide__Jmol.html" TargetMode="External"/><Relationship Id="rId37" Type="http://schemas.openxmlformats.org/officeDocument/2006/relationships/hyperlink" Target="file:///M:\PARAM\HTML%20Files\data_solids\4_4_-Bipyridyl-racemic_tartaric_acid_Jmol.html" TargetMode="External"/><Relationship Id="rId53" Type="http://schemas.openxmlformats.org/officeDocument/2006/relationships/hyperlink" Target="file:///M:\PARAM\HTML%20Files\data_solids\4-Aminobenzoic_acid__AMBNAC04__Jmol.html" TargetMode="External"/><Relationship Id="rId58" Type="http://schemas.openxmlformats.org/officeDocument/2006/relationships/hyperlink" Target="file:///M:\PARAM\HTML%20Files\data_solids\Carbamazepine_isonicotinamide__LOFKIB01__Jmol.html" TargetMode="External"/><Relationship Id="rId74" Type="http://schemas.openxmlformats.org/officeDocument/2006/relationships/hyperlink" Target="file:///M:\PARAM\HTML%20Files\data_solids\Theophylline_Jmol.html" TargetMode="External"/><Relationship Id="rId79" Type="http://schemas.openxmlformats.org/officeDocument/2006/relationships/hyperlink" Target="file:///M:\PARAM\HTML%20Files\data_solids\4-Hydroxybenzoic_acid_isonicotinamide__VAKTOR__Jmol.html" TargetMode="External"/><Relationship Id="rId102" Type="http://schemas.openxmlformats.org/officeDocument/2006/relationships/hyperlink" Target="file:///M:\PARAM\HTML%20Files\data_solids\Maleic_acid__MALIAC11__Jmol.html" TargetMode="External"/><Relationship Id="rId123" Type="http://schemas.openxmlformats.org/officeDocument/2006/relationships/hyperlink" Target="file:///M:\PARAM\HTML%20Files\data_solids\Ice-Ih_Jmol.html" TargetMode="External"/><Relationship Id="rId128" Type="http://schemas.openxmlformats.org/officeDocument/2006/relationships/hyperlink" Target="file:///M:\PARAM\HTML%20Files\data_solids\Sildenafil_Jmol.html" TargetMode="External"/><Relationship Id="rId5" Type="http://schemas.openxmlformats.org/officeDocument/2006/relationships/hyperlink" Target="file:///M:\PARAM\HTML%20Files\data_solids\Nevirapine_Jmol.html" TargetMode="External"/><Relationship Id="rId90" Type="http://schemas.openxmlformats.org/officeDocument/2006/relationships/hyperlink" Target="file:///M:\PARAM\HTML%20Files\data_solids\Saccharin_Jmol.html" TargetMode="External"/><Relationship Id="rId95" Type="http://schemas.openxmlformats.org/officeDocument/2006/relationships/hyperlink" Target="file:///M:\PARAM\HTML%20Files\data_solids\Resorcinol__RESORA03__Jmol.html" TargetMode="External"/><Relationship Id="rId19" Type="http://schemas.openxmlformats.org/officeDocument/2006/relationships/hyperlink" Target="file:///M:\PARAM\HTML%20Files\data_solids\Aspirin_carbamazepine__TAZRAO__Jmol.html" TargetMode="External"/><Relationship Id="rId14" Type="http://schemas.openxmlformats.org/officeDocument/2006/relationships/hyperlink" Target="file:///M:\PARAM\HTML%20Files\data_solids\Malonic_acid__MALNAC02__Jmol.html" TargetMode="External"/><Relationship Id="rId22" Type="http://schemas.openxmlformats.org/officeDocument/2006/relationships/hyperlink" Target="file:///M:\PARAM\HTML%20Files\data_solids\Nevirapine_hemikis_saccharin__Jmol.html" TargetMode="External"/><Relationship Id="rId27" Type="http://schemas.openxmlformats.org/officeDocument/2006/relationships/hyperlink" Target="file:///M:\PARAM\HTML%20Files\data_solids\Saccharin_Jmol.html" TargetMode="External"/><Relationship Id="rId30" Type="http://schemas.openxmlformats.org/officeDocument/2006/relationships/hyperlink" Target="file:///M:\PARAM\HTML%20Files\data_solids\o-Aminopyridine__AMPYRD__Jmol.html" TargetMode="External"/><Relationship Id="rId35" Type="http://schemas.openxmlformats.org/officeDocument/2006/relationships/hyperlink" Target="file:///M:\PARAM\HTML%20Files\data_solids\Indomethacin_Jmol.html" TargetMode="External"/><Relationship Id="rId43" Type="http://schemas.openxmlformats.org/officeDocument/2006/relationships/hyperlink" Target="file:///M:\PARAM\HTML%20Files\data_solids\Nevirapine_hemikis_salicylic_acid__Jmol.html" TargetMode="External"/><Relationship Id="rId48" Type="http://schemas.openxmlformats.org/officeDocument/2006/relationships/hyperlink" Target="file:///M:\PARAM\HTML%20Files\data_solids\Ice-Ih_Jmol.html" TargetMode="External"/><Relationship Id="rId56" Type="http://schemas.openxmlformats.org/officeDocument/2006/relationships/hyperlink" Target="file:///M:\PARAM\HTML%20Files\data_solids\Nevirapine_Jmol.html" TargetMode="External"/><Relationship Id="rId64" Type="http://schemas.openxmlformats.org/officeDocument/2006/relationships/hyperlink" Target="file:///M:\PARAM\HTML%20Files\data_solids\5-Nitrouracil_monohydrate_Jmol.html" TargetMode="External"/><Relationship Id="rId69" Type="http://schemas.openxmlformats.org/officeDocument/2006/relationships/hyperlink" Target="file:///M:\PARAM\HTML%20Files\data_solids\Isonicotinamide__EHOWIH__Jmol.html" TargetMode="External"/><Relationship Id="rId77" Type="http://schemas.openxmlformats.org/officeDocument/2006/relationships/hyperlink" Target="file:///M:\PARAM\HTML%20Files\data_solids\Fluoxetine_hydrochloride_Jmol.html" TargetMode="External"/><Relationship Id="rId100" Type="http://schemas.openxmlformats.org/officeDocument/2006/relationships/hyperlink" Target="file:///M:\PARAM\HTML%20Files\data_solids\Nevirapine-maleic_acid_Jmol.html" TargetMode="External"/><Relationship Id="rId105" Type="http://schemas.openxmlformats.org/officeDocument/2006/relationships/hyperlink" Target="file:///M:\PARAM\HTML%20Files\data_solids\Succinic_acid__SUCACB11__Jmol.html" TargetMode="External"/><Relationship Id="rId113" Type="http://schemas.openxmlformats.org/officeDocument/2006/relationships/hyperlink" Target="file:///M:\PARAM\HTML%20Files\data_solids\Cinnamic_acid__CINMAC06__Jmol.html" TargetMode="External"/><Relationship Id="rId118" Type="http://schemas.openxmlformats.org/officeDocument/2006/relationships/hyperlink" Target="file:///M:\PARAM\HTML%20Files\data_solids\4_4_-Biphenol_bis_caprolactam___KEWZUI__Jmol.html" TargetMode="External"/><Relationship Id="rId126" Type="http://schemas.openxmlformats.org/officeDocument/2006/relationships/hyperlink" Target="file:///M:\PARAM\HTML%20Files\data_solids\Caffeine_Jmol.html" TargetMode="External"/><Relationship Id="rId8" Type="http://schemas.openxmlformats.org/officeDocument/2006/relationships/hyperlink" Target="file:///M:\PARAM\HTML%20Files\data_solids\5-Nitrouracil_Jmol.html" TargetMode="External"/><Relationship Id="rId51" Type="http://schemas.openxmlformats.org/officeDocument/2006/relationships/hyperlink" Target="file:///M:\PARAM\HTML%20Files\data_solids\Fumaric_acid__FUMAAC__Jmol.html" TargetMode="External"/><Relationship Id="rId72" Type="http://schemas.openxmlformats.org/officeDocument/2006/relationships/hyperlink" Target="file:///M:\PARAM\HTML%20Files\data_solids\Urea__UREAXX13__Jmol.html" TargetMode="External"/><Relationship Id="rId80" Type="http://schemas.openxmlformats.org/officeDocument/2006/relationships/hyperlink" Target="file:///M:\PARAM\HTML%20Files\data_solids\p-Hydroxybenzoic_acid__JOZZIH__Jmol.html" TargetMode="External"/><Relationship Id="rId85" Type="http://schemas.openxmlformats.org/officeDocument/2006/relationships/hyperlink" Target="file:///M:\PARAM\HTML%20Files\data_solids\Theophylline_4-aminobenzoic_acid_Jmol.html" TargetMode="External"/><Relationship Id="rId93" Type="http://schemas.openxmlformats.org/officeDocument/2006/relationships/hyperlink" Target="file:///M:\PARAM\HTML%20Files\data_solids\Melamine__MELAMI07__Jmol.html" TargetMode="External"/><Relationship Id="rId98" Type="http://schemas.openxmlformats.org/officeDocument/2006/relationships/hyperlink" Target="file:///M:\PARAM\HTML%20Files\data_solids\Theophylline_Jmol.html" TargetMode="External"/><Relationship Id="rId121" Type="http://schemas.openxmlformats.org/officeDocument/2006/relationships/hyperlink" Target="file:///M:\PARAM\HTML%20Files\data_solids\Oxalic_acid_dihydrate__OXACDH26__Jmol.html" TargetMode="External"/><Relationship Id="rId3" Type="http://schemas.openxmlformats.org/officeDocument/2006/relationships/hyperlink" Target="file:///M:\PARAM\HTML%20Files\data_solids\1_4-Dioxane_Jmol.html" TargetMode="External"/><Relationship Id="rId12" Type="http://schemas.openxmlformats.org/officeDocument/2006/relationships/hyperlink" Target="file:///M:\PARAM\HTML%20Files\data_solids\1_4-Dioxane_Jmol.html" TargetMode="External"/><Relationship Id="rId17" Type="http://schemas.openxmlformats.org/officeDocument/2006/relationships/hyperlink" Target="file:///M:\PARAM\HTML%20Files\data_solids\Aceclofenac_Jmol.html" TargetMode="External"/><Relationship Id="rId25" Type="http://schemas.openxmlformats.org/officeDocument/2006/relationships/hyperlink" Target="file:///M:\PARAM\HTML%20Files\data_solids\Carbamazepine_Saccharin_Jmol.html" TargetMode="External"/><Relationship Id="rId33" Type="http://schemas.openxmlformats.org/officeDocument/2006/relationships/hyperlink" Target="file:///M:\PARAM\HTML%20Files\data_solids\4-Acetamidobenzoic_acid_Jmol.html" TargetMode="External"/><Relationship Id="rId38" Type="http://schemas.openxmlformats.org/officeDocument/2006/relationships/hyperlink" Target="file:///M:\PARAM\HTML%20Files\data_solids\4_4_-Bipyridine_Jmol.html" TargetMode="External"/><Relationship Id="rId46" Type="http://schemas.openxmlformats.org/officeDocument/2006/relationships/hyperlink" Target="file:///M:\PARAM\HTML%20Files\data_solids\Nevirapine_hemihydrate_Jmol.html" TargetMode="External"/><Relationship Id="rId59" Type="http://schemas.openxmlformats.org/officeDocument/2006/relationships/hyperlink" Target="file:///M:\PARAM\HTML%20Files\data_solids\Carbamazepine__CBMZPN01__Jmol.html" TargetMode="External"/><Relationship Id="rId67" Type="http://schemas.openxmlformats.org/officeDocument/2006/relationships/hyperlink" Target="file:///M:\PARAM\HTML%20Files\data_solids\Theophylline_isonicotinamide_Jmol.html" TargetMode="External"/><Relationship Id="rId103" Type="http://schemas.openxmlformats.org/officeDocument/2006/relationships/hyperlink" Target="file:///M:\PARAM\HTML%20Files\data_solids\Fluoxetine_hydrochloride_succinic_acid_Jmol.html" TargetMode="External"/><Relationship Id="rId108" Type="http://schemas.openxmlformats.org/officeDocument/2006/relationships/hyperlink" Target="file:///M:\PARAM\HTML%20Files\data_solids\Fumaric_acid__FUMAAC__Jmol.html" TargetMode="External"/><Relationship Id="rId116" Type="http://schemas.openxmlformats.org/officeDocument/2006/relationships/hyperlink" Target="file:///M:\PARAM\HTML%20Files\data_solids\Urea__UREAXX13__Jmol.html" TargetMode="External"/><Relationship Id="rId124" Type="http://schemas.openxmlformats.org/officeDocument/2006/relationships/hyperlink" Target="file:///M:\PARAM\HTML%20Files\data_solids\Indometacine_caffeine_Jmol.html" TargetMode="External"/><Relationship Id="rId129" Type="http://schemas.openxmlformats.org/officeDocument/2006/relationships/hyperlink" Target="file:///M:\PARAM\HTML%20Files\data_solids\1_4-Dioxane_Jmol.html" TargetMode="External"/><Relationship Id="rId20" Type="http://schemas.openxmlformats.org/officeDocument/2006/relationships/hyperlink" Target="file:///M:\PARAM\HTML%20Files\data_solids\Aspirin_I__ACSALA01_Jmol.html" TargetMode="External"/><Relationship Id="rId41" Type="http://schemas.openxmlformats.org/officeDocument/2006/relationships/hyperlink" Target="file:///M:\PARAM\HTML%20Files\data_solids\Succinic_acid__SUCACB11__Jmol.html" TargetMode="External"/><Relationship Id="rId54" Type="http://schemas.openxmlformats.org/officeDocument/2006/relationships/hyperlink" Target="file:///M:\PARAM\HTML%20Files\data_solids\4-Nitroaniline__NANILI22__Jmol.html" TargetMode="External"/><Relationship Id="rId62" Type="http://schemas.openxmlformats.org/officeDocument/2006/relationships/hyperlink" Target="file:///M:\PARAM\HTML%20Files\data_solids\Isonicotinamide__EHOWIH__Jmol.html" TargetMode="External"/><Relationship Id="rId70" Type="http://schemas.openxmlformats.org/officeDocument/2006/relationships/hyperlink" Target="file:///M:\PARAM\HTML%20Files\data_solids\Theophylline_urea_Jmol.html" TargetMode="External"/><Relationship Id="rId75" Type="http://schemas.openxmlformats.org/officeDocument/2006/relationships/hyperlink" Target="file:///M:\PARAM\HTML%20Files\data_solids\Aspirin_I__ACSALA01_Jmol.html" TargetMode="External"/><Relationship Id="rId83" Type="http://schemas.openxmlformats.org/officeDocument/2006/relationships/hyperlink" Target="file:///M:\PARAM\HTML%20Files\data_solids\Theophylline_Jmol.html" TargetMode="External"/><Relationship Id="rId88" Type="http://schemas.openxmlformats.org/officeDocument/2006/relationships/hyperlink" Target="file:///M:\PARAM\HTML%20Files\data_solids\Indomethacin_saccharin_Jmol.html" TargetMode="External"/><Relationship Id="rId91" Type="http://schemas.openxmlformats.org/officeDocument/2006/relationships/hyperlink" Target="file:///M:\PARAM\HTML%20Files\data_solids\Cyanuric_acid-Melamine__QACSUI__Jmol.html" TargetMode="External"/><Relationship Id="rId96" Type="http://schemas.openxmlformats.org/officeDocument/2006/relationships/hyperlink" Target="file:///M:\PARAM\HTML%20Files\data_solids\Caprolactam__CAPLAC__Jmol.html" TargetMode="External"/><Relationship Id="rId111" Type="http://schemas.openxmlformats.org/officeDocument/2006/relationships/hyperlink" Target="file:///M:\PARAM\HTML%20Files\data_solids\L-proline_Jmol.html" TargetMode="External"/><Relationship Id="rId1" Type="http://schemas.openxmlformats.org/officeDocument/2006/relationships/hyperlink" Target="file:///M:\PARAM\HTML%20Files\data_solids\5-Nitrouracil_dioxane_Jmol.html" TargetMode="External"/><Relationship Id="rId6" Type="http://schemas.openxmlformats.org/officeDocument/2006/relationships/hyperlink" Target="file:///M:\PARAM\HTML%20Files\data_solids\Glutaric_acid_Jmol.html" TargetMode="External"/><Relationship Id="rId15" Type="http://schemas.openxmlformats.org/officeDocument/2006/relationships/hyperlink" Target="file:///M:\PARAM\HTML%20Files\data_solids\Isonicotinamide__EHOWIH__Jmol.html" TargetMode="External"/><Relationship Id="rId23" Type="http://schemas.openxmlformats.org/officeDocument/2006/relationships/hyperlink" Target="file:///M:\PARAM\HTML%20Files\data_solids\Nevirapine_Jmol.html" TargetMode="External"/><Relationship Id="rId28" Type="http://schemas.openxmlformats.org/officeDocument/2006/relationships/hyperlink" Target="file:///M:\PARAM\HTML%20Files\data_solids\tris_4_4_-Biphenol__bis_2-aminopyridine___KEXBAR__Jmol.html" TargetMode="External"/><Relationship Id="rId36" Type="http://schemas.openxmlformats.org/officeDocument/2006/relationships/hyperlink" Target="file:///M:\PARAM\HTML%20Files\data_solids\Nicotinamide__NICOAM01__Jmol.html" TargetMode="External"/><Relationship Id="rId49" Type="http://schemas.openxmlformats.org/officeDocument/2006/relationships/hyperlink" Target="file:///M:\PARAM\HTML%20Files\data_solids\bis_Pyridine__fumaric_acid__GUKWOZ__Jmol.html" TargetMode="External"/><Relationship Id="rId57" Type="http://schemas.openxmlformats.org/officeDocument/2006/relationships/hyperlink" Target="file:///M:\PARAM\HTML%20Files\data_solids\Tartaric_acid__TARTAC__Jmol.html" TargetMode="External"/><Relationship Id="rId106" Type="http://schemas.openxmlformats.org/officeDocument/2006/relationships/hyperlink" Target="file:///M:\PARAM\HTML%20Files\data_solids\Fluoxetine_hydrochloride_fumaric_acid_Jmol.html" TargetMode="External"/><Relationship Id="rId114" Type="http://schemas.openxmlformats.org/officeDocument/2006/relationships/hyperlink" Target="file:///M:\PARAM\HTML%20Files\data_solids\3-Nitrobenzamide__JACYOB__Jmol.html" TargetMode="External"/><Relationship Id="rId119" Type="http://schemas.openxmlformats.org/officeDocument/2006/relationships/hyperlink" Target="file:///M:\PARAM\HTML%20Files\data_solids\4_4_-Biphenol__DOHDPH02__Jmol.html" TargetMode="External"/><Relationship Id="rId127" Type="http://schemas.openxmlformats.org/officeDocument/2006/relationships/hyperlink" Target="file:///M:\PARAM\HTML%20Files\data_solids\Sildenafil_dioxane_Jmol.html" TargetMode="External"/><Relationship Id="rId10" Type="http://schemas.openxmlformats.org/officeDocument/2006/relationships/hyperlink" Target="file:///M:\PARAM\HTML%20Files\data_solids\Nevirapine_1_4-dioxane_Jmol.html" TargetMode="External"/><Relationship Id="rId31" Type="http://schemas.openxmlformats.org/officeDocument/2006/relationships/hyperlink" Target="file:///M:\PARAM\HTML%20Files\data_solids\2-Hydroxybenzamide_4-acetoamidobenzoic_acid_Jmol.html" TargetMode="External"/><Relationship Id="rId44" Type="http://schemas.openxmlformats.org/officeDocument/2006/relationships/hyperlink" Target="file:///M:\PARAM\HTML%20Files\data_solids\Nevirapine_Jmol.html" TargetMode="External"/><Relationship Id="rId52" Type="http://schemas.openxmlformats.org/officeDocument/2006/relationships/hyperlink" Target="file:///M:\PARAM\HTML%20Files\data_solids\4-Aminobenzoic_acid_4-nitroaniline__RILJEB__Jmol.html" TargetMode="External"/><Relationship Id="rId60" Type="http://schemas.openxmlformats.org/officeDocument/2006/relationships/hyperlink" Target="file:///M:\PARAM\HTML%20Files\data_solids\Isonicotinamide__EHOWIH__Jmol.html" TargetMode="External"/><Relationship Id="rId65" Type="http://schemas.openxmlformats.org/officeDocument/2006/relationships/hyperlink" Target="file:///M:\PARAM\HTML%20Files\data_solids\5-Nitrouracil_Jmol.html" TargetMode="External"/><Relationship Id="rId73" Type="http://schemas.openxmlformats.org/officeDocument/2006/relationships/hyperlink" Target="file:///M:\PARAM\HTML%20Files\data_solids\Theophylline_aspirin_Jmol.html" TargetMode="External"/><Relationship Id="rId78" Type="http://schemas.openxmlformats.org/officeDocument/2006/relationships/hyperlink" Target="file:///M:\PARAM\HTML%20Files\data_solids\Benzoic_acid__BENZAC02__Jmol.html" TargetMode="External"/><Relationship Id="rId81" Type="http://schemas.openxmlformats.org/officeDocument/2006/relationships/hyperlink" Target="file:///M:\PARAM\HTML%20Files\data_solids\Isonicotinamide__EHOWIH__Jmol.html" TargetMode="External"/><Relationship Id="rId86" Type="http://schemas.openxmlformats.org/officeDocument/2006/relationships/hyperlink" Target="file:///M:\PARAM\HTML%20Files\data_solids\Theophylline_Jmol.html" TargetMode="External"/><Relationship Id="rId94" Type="http://schemas.openxmlformats.org/officeDocument/2006/relationships/hyperlink" Target="file:///M:\PARAM\HTML%20Files\data_solids\Resorcinol_bis_caprolactam___QQQGHM01__Jmol.html" TargetMode="External"/><Relationship Id="rId99" Type="http://schemas.openxmlformats.org/officeDocument/2006/relationships/hyperlink" Target="file:///M:\PARAM\HTML%20Files\data_solids\Salicylic_acid__SALIAC03__Jmol.html" TargetMode="External"/><Relationship Id="rId101" Type="http://schemas.openxmlformats.org/officeDocument/2006/relationships/hyperlink" Target="file:///M:\PARAM\HTML%20Files\data_solids\Nevirapine_Jmol.html" TargetMode="External"/><Relationship Id="rId122" Type="http://schemas.openxmlformats.org/officeDocument/2006/relationships/hyperlink" Target="file:///M:\PARAM\HTML%20Files\data_solids\Oxalic_acid__OXALAC06__Jmol.html" TargetMode="External"/><Relationship Id="rId130" Type="http://schemas.openxmlformats.org/officeDocument/2006/relationships/printerSettings" Target="../printerSettings/printerSettings1.bin"/><Relationship Id="rId4" Type="http://schemas.openxmlformats.org/officeDocument/2006/relationships/hyperlink" Target="file:///M:\PARAM\HTML%20Files\data_solids\Nevirapine-glutaric_acid_Jmol.html" TargetMode="External"/><Relationship Id="rId9" Type="http://schemas.openxmlformats.org/officeDocument/2006/relationships/hyperlink" Target="file:///M:\PARAM\HTML%20Files\data_solids\piperazine_Jmol.html" TargetMode="External"/><Relationship Id="rId13" Type="http://schemas.openxmlformats.org/officeDocument/2006/relationships/hyperlink" Target="file:///M:\PARAM\HTML%20Files\data_solids\Malonic_acid_bis_isonicotinamide___ULAWEJ__Jmol.html" TargetMode="External"/><Relationship Id="rId18" Type="http://schemas.openxmlformats.org/officeDocument/2006/relationships/hyperlink" Target="file:///M:\PARAM\HTML%20Files\data_solids\4_4_-Bipyridine_Jmol.html" TargetMode="External"/><Relationship Id="rId39" Type="http://schemas.openxmlformats.org/officeDocument/2006/relationships/hyperlink" Target="file:///M:\PARAM\HTML%20Files\data_solids\Tartaric_acid__TARTAC__Jmol.html" TargetMode="External"/><Relationship Id="rId109" Type="http://schemas.openxmlformats.org/officeDocument/2006/relationships/hyperlink" Target="file:///M:\PARAM\HTML%20Files\data_solids\Indomethacin_L-proline_Jmol.html" TargetMode="External"/><Relationship Id="rId34" Type="http://schemas.openxmlformats.org/officeDocument/2006/relationships/hyperlink" Target="file:///M:\PARAM\HTML%20Files\data_solids\Indomethacin_nicotinamide_Jmol.html" TargetMode="External"/><Relationship Id="rId50" Type="http://schemas.openxmlformats.org/officeDocument/2006/relationships/hyperlink" Target="file:///M:\PARAM\HTML%20Files\data_solids\Pyridine__PYRDNA03__Jmol.html" TargetMode="External"/><Relationship Id="rId55" Type="http://schemas.openxmlformats.org/officeDocument/2006/relationships/hyperlink" Target="file:///M:\PARAM\HTML%20Files\data_solids\Nevirapine_rac-tartaric_acid_Jmol.html" TargetMode="External"/><Relationship Id="rId76" Type="http://schemas.openxmlformats.org/officeDocument/2006/relationships/hyperlink" Target="file:///M:\PARAM\HTML%20Files\data_solids\Fluoxetine_hydrochloride_benzoic_acid_Jmol.html" TargetMode="External"/><Relationship Id="rId97" Type="http://schemas.openxmlformats.org/officeDocument/2006/relationships/hyperlink" Target="file:///M:\PARAM\HTML%20Files\data_solids\Theophylline_salicylic_acid_Jmol.html" TargetMode="External"/><Relationship Id="rId104" Type="http://schemas.openxmlformats.org/officeDocument/2006/relationships/hyperlink" Target="file:///M:\PARAM\HTML%20Files\data_solids\Fluoxetine_hydrochloride_Jmol.html" TargetMode="External"/><Relationship Id="rId120" Type="http://schemas.openxmlformats.org/officeDocument/2006/relationships/hyperlink" Target="file:///M:\PARAM\HTML%20Files\data_solids\Caprolactam__CAPLAC__Jmol.html" TargetMode="External"/><Relationship Id="rId125" Type="http://schemas.openxmlformats.org/officeDocument/2006/relationships/hyperlink" Target="file:///M:\PARAM\HTML%20Files\data_solids\Indomethacin_Jmol.html" TargetMode="External"/><Relationship Id="rId7" Type="http://schemas.openxmlformats.org/officeDocument/2006/relationships/hyperlink" Target="file:///M:\PARAM\HTML%20Files\data_solids\5-Nitrouracil_piperazine_Jmol.html" TargetMode="External"/><Relationship Id="rId71" Type="http://schemas.openxmlformats.org/officeDocument/2006/relationships/hyperlink" Target="file:///M:\PARAM\HTML%20Files\data_solids\Theophylline_Jmol.html" TargetMode="External"/><Relationship Id="rId92" Type="http://schemas.openxmlformats.org/officeDocument/2006/relationships/hyperlink" Target="file:///M:\PARAM\HTML%20Files\data_solids\Cyanuric_acid__CYURAC12__Jmol.html" TargetMode="External"/><Relationship Id="rId2" Type="http://schemas.openxmlformats.org/officeDocument/2006/relationships/hyperlink" Target="file:///M:\PARAM\HTML%20Files\data_solids\5-Nitrouracil_Jmol.html" TargetMode="External"/><Relationship Id="rId29" Type="http://schemas.openxmlformats.org/officeDocument/2006/relationships/hyperlink" Target="file:///M:\PARAM\HTML%20Files\data_solids\4_4_-Biphenol__DOHDPH02__Jmol.html" TargetMode="External"/><Relationship Id="rId24" Type="http://schemas.openxmlformats.org/officeDocument/2006/relationships/hyperlink" Target="file:///M:\PARAM\HTML%20Files\data_solids\Saccharin_Jmol.html" TargetMode="External"/><Relationship Id="rId40" Type="http://schemas.openxmlformats.org/officeDocument/2006/relationships/hyperlink" Target="file:///M:\PARAM\HTML%20Files\data_solids\Succinic_acid_bis_urea___VEJXAJ__Jmol.html" TargetMode="External"/><Relationship Id="rId45" Type="http://schemas.openxmlformats.org/officeDocument/2006/relationships/hyperlink" Target="file:///M:\PARAM\HTML%20Files\data_solids\Salicylic_acid__SALIAC03__Jmol.html" TargetMode="External"/><Relationship Id="rId66" Type="http://schemas.openxmlformats.org/officeDocument/2006/relationships/hyperlink" Target="file:///M:\PARAM\HTML%20Files\data_solids\Ice-Ih_Jmol.html" TargetMode="External"/><Relationship Id="rId87" Type="http://schemas.openxmlformats.org/officeDocument/2006/relationships/hyperlink" Target="file:///M:\PARAM\HTML%20Files\data_solids\4-Aminobenzoic_acid__AMBNAC04__Jmol.html" TargetMode="External"/><Relationship Id="rId110" Type="http://schemas.openxmlformats.org/officeDocument/2006/relationships/hyperlink" Target="file:///M:\PARAM\HTML%20Files\data_solids\Indomethacin_Jmol.html" TargetMode="External"/><Relationship Id="rId115" Type="http://schemas.openxmlformats.org/officeDocument/2006/relationships/hyperlink" Target="file:///M:\PARAM\HTML%20Files\data_solids\bis_Urea__oxalic_acid__UROXAL01__Jmol.html" TargetMode="External"/><Relationship Id="rId61" Type="http://schemas.openxmlformats.org/officeDocument/2006/relationships/hyperlink" Target="file:///M:\PARAM\HTML%20Files\data_solids\Isonicotinamide_3-hydroxybenzoic_acid__LUNMEM__Jmol.html" TargetMode="External"/><Relationship Id="rId82" Type="http://schemas.openxmlformats.org/officeDocument/2006/relationships/hyperlink" Target="file:///M:\PARAM\HTML%20Files\data_solids\Theophylline_phthalic_acid_Jmol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7"/>
  <sheetViews>
    <sheetView tabSelected="1" topLeftCell="A24" workbookViewId="0">
      <selection activeCell="N47" sqref="N47"/>
    </sheetView>
  </sheetViews>
  <sheetFormatPr defaultRowHeight="15" customHeight="1"/>
  <cols>
    <col min="2" max="2" width="44.42578125" customWidth="1"/>
    <col min="14" max="15" width="10.5703125" customWidth="1"/>
  </cols>
  <sheetData>
    <row r="1" spans="1:19" ht="15" customHeight="1">
      <c r="A1" s="7"/>
      <c r="B1" s="7"/>
      <c r="C1" s="8"/>
      <c r="D1" s="7"/>
      <c r="E1" s="7"/>
      <c r="F1" s="7" t="s">
        <v>96</v>
      </c>
      <c r="G1" s="7" t="s">
        <v>96</v>
      </c>
      <c r="H1" s="9" t="s">
        <v>5</v>
      </c>
      <c r="I1" s="7"/>
      <c r="J1" s="7" t="s">
        <v>6</v>
      </c>
      <c r="K1" s="7" t="s">
        <v>98</v>
      </c>
      <c r="L1" s="9" t="s">
        <v>7</v>
      </c>
      <c r="M1" s="7"/>
      <c r="N1" s="10" t="s">
        <v>99</v>
      </c>
      <c r="O1" s="10" t="s">
        <v>99</v>
      </c>
      <c r="P1" s="7"/>
      <c r="Q1" s="7"/>
      <c r="R1" s="7"/>
      <c r="S1" s="7"/>
    </row>
    <row r="2" spans="1:19" ht="15" customHeight="1">
      <c r="A2" s="7"/>
      <c r="B2" s="7" t="s">
        <v>0</v>
      </c>
      <c r="C2" s="8"/>
      <c r="D2" s="1" t="s">
        <v>1</v>
      </c>
      <c r="E2" s="1"/>
      <c r="F2" s="7" t="s">
        <v>2</v>
      </c>
      <c r="G2" s="7" t="s">
        <v>2</v>
      </c>
      <c r="H2" s="1"/>
      <c r="I2" s="7"/>
      <c r="J2" s="7" t="s">
        <v>97</v>
      </c>
      <c r="K2" s="7" t="s">
        <v>97</v>
      </c>
      <c r="L2" s="1"/>
      <c r="M2" s="7"/>
      <c r="N2" s="10"/>
      <c r="O2" s="10"/>
      <c r="P2" s="7"/>
      <c r="Q2" s="7"/>
      <c r="R2" s="7"/>
      <c r="S2" s="7"/>
    </row>
    <row r="3" spans="1:19" ht="15" customHeight="1">
      <c r="A3" s="13"/>
      <c r="B3" s="13"/>
      <c r="C3" s="12"/>
      <c r="D3" s="13"/>
      <c r="E3" s="13"/>
      <c r="F3" s="13" t="s">
        <v>3</v>
      </c>
      <c r="G3" s="13" t="s">
        <v>4</v>
      </c>
      <c r="H3" s="14"/>
      <c r="I3" s="13"/>
      <c r="J3" s="13" t="s">
        <v>3</v>
      </c>
      <c r="K3" s="13" t="s">
        <v>4</v>
      </c>
      <c r="L3" s="14"/>
      <c r="M3" s="13"/>
      <c r="N3" s="11"/>
      <c r="O3" s="11"/>
      <c r="P3" s="7"/>
      <c r="Q3" s="7"/>
      <c r="R3" s="7"/>
      <c r="S3" s="7"/>
    </row>
    <row r="4" spans="1:19" ht="15" customHeight="1">
      <c r="A4" s="2" t="s">
        <v>92</v>
      </c>
      <c r="B4" s="3" t="s">
        <v>93</v>
      </c>
      <c r="C4" s="2"/>
      <c r="D4" s="3" t="s">
        <v>10</v>
      </c>
      <c r="E4" s="3" t="s">
        <v>11</v>
      </c>
      <c r="F4" s="2">
        <v>-249.7</v>
      </c>
      <c r="G4" s="2">
        <v>-211.1</v>
      </c>
      <c r="H4" s="2">
        <v>-38.5</v>
      </c>
      <c r="I4" s="2"/>
      <c r="J4" s="2">
        <v>-229.2</v>
      </c>
      <c r="K4" s="2">
        <v>-196.9</v>
      </c>
      <c r="L4" s="2">
        <v>-32.299999999999997</v>
      </c>
      <c r="M4" s="2"/>
      <c r="N4" s="4">
        <f>L4-H4</f>
        <v>6.2000000000000028</v>
      </c>
      <c r="O4" s="4">
        <v>6.2000000000000028</v>
      </c>
    </row>
    <row r="5" spans="1:19" ht="15" customHeight="1">
      <c r="A5" s="2" t="s">
        <v>24</v>
      </c>
      <c r="B5" s="3" t="s">
        <v>25</v>
      </c>
      <c r="C5" s="2"/>
      <c r="D5" s="3" t="s">
        <v>10</v>
      </c>
      <c r="E5" s="3" t="s">
        <v>11</v>
      </c>
      <c r="F5" s="2">
        <v>-92</v>
      </c>
      <c r="G5" s="2">
        <v>-90.3</v>
      </c>
      <c r="H5" s="2">
        <v>-1.8</v>
      </c>
      <c r="I5" s="2"/>
      <c r="J5" s="2">
        <v>-83.3</v>
      </c>
      <c r="K5" s="2">
        <v>-86.5</v>
      </c>
      <c r="L5" s="2">
        <v>3.3</v>
      </c>
      <c r="M5" s="2"/>
      <c r="N5" s="4">
        <f>L5-H5</f>
        <v>5.0999999999999996</v>
      </c>
      <c r="O5" s="4">
        <v>5.0999999999999996</v>
      </c>
    </row>
    <row r="6" spans="1:19" ht="15" customHeight="1">
      <c r="A6" s="2" t="s">
        <v>12</v>
      </c>
      <c r="B6" s="3" t="s">
        <v>13</v>
      </c>
      <c r="C6" s="2"/>
      <c r="D6" s="3" t="s">
        <v>10</v>
      </c>
      <c r="E6" s="3" t="s">
        <v>11</v>
      </c>
      <c r="F6" s="2">
        <v>-215.6</v>
      </c>
      <c r="G6" s="2">
        <v>-222</v>
      </c>
      <c r="H6" s="2">
        <v>6.4</v>
      </c>
      <c r="I6" s="2"/>
      <c r="J6" s="2">
        <v>-209.5</v>
      </c>
      <c r="K6" s="2">
        <v>-219.9</v>
      </c>
      <c r="L6" s="2">
        <v>10.4</v>
      </c>
      <c r="M6" s="2"/>
      <c r="N6" s="4">
        <f>L6-H6</f>
        <v>4</v>
      </c>
      <c r="O6" s="4">
        <v>4</v>
      </c>
    </row>
    <row r="7" spans="1:19" ht="15" customHeight="1">
      <c r="A7" s="2" t="s">
        <v>44</v>
      </c>
      <c r="B7" s="3" t="s">
        <v>45</v>
      </c>
      <c r="C7" s="2"/>
      <c r="D7" s="3" t="s">
        <v>10</v>
      </c>
      <c r="E7" s="3" t="s">
        <v>11</v>
      </c>
      <c r="F7" s="2">
        <v>-123.7</v>
      </c>
      <c r="G7" s="2">
        <v>-120.1</v>
      </c>
      <c r="H7" s="2">
        <v>-3.6</v>
      </c>
      <c r="I7" s="2"/>
      <c r="J7" s="2">
        <v>-119</v>
      </c>
      <c r="K7" s="2">
        <v>-118.4</v>
      </c>
      <c r="L7" s="2">
        <v>-0.6</v>
      </c>
      <c r="M7" s="2"/>
      <c r="N7" s="4">
        <f>L7-H7</f>
        <v>3</v>
      </c>
      <c r="O7" s="4">
        <v>3</v>
      </c>
    </row>
    <row r="8" spans="1:19" ht="15" customHeight="1">
      <c r="A8" s="2" t="s">
        <v>22</v>
      </c>
      <c r="B8" s="3" t="s">
        <v>23</v>
      </c>
      <c r="C8" s="2"/>
      <c r="D8" s="3" t="s">
        <v>10</v>
      </c>
      <c r="E8" s="3" t="s">
        <v>11</v>
      </c>
      <c r="F8" s="2">
        <v>-195.4</v>
      </c>
      <c r="G8" s="2">
        <v>-197.5</v>
      </c>
      <c r="H8" s="2">
        <v>2.1</v>
      </c>
      <c r="I8" s="2"/>
      <c r="J8" s="2">
        <v>-189</v>
      </c>
      <c r="K8" s="2">
        <v>-192.4</v>
      </c>
      <c r="L8" s="2">
        <v>3.4</v>
      </c>
      <c r="M8" s="2"/>
      <c r="N8" s="4">
        <f>L8-H8</f>
        <v>1.2999999999999998</v>
      </c>
      <c r="O8" s="4">
        <v>1.2999999999999998</v>
      </c>
    </row>
    <row r="9" spans="1:19" ht="15" customHeight="1">
      <c r="A9" s="2" t="s">
        <v>50</v>
      </c>
      <c r="B9" s="3" t="s">
        <v>51</v>
      </c>
      <c r="C9" s="2"/>
      <c r="D9" s="3" t="s">
        <v>10</v>
      </c>
      <c r="E9" s="3" t="s">
        <v>11</v>
      </c>
      <c r="F9" s="2">
        <v>-185.8</v>
      </c>
      <c r="G9" s="2">
        <v>-183.7</v>
      </c>
      <c r="H9" s="2">
        <v>-2.1</v>
      </c>
      <c r="I9" s="2"/>
      <c r="J9" s="2">
        <v>-179.3</v>
      </c>
      <c r="K9" s="2">
        <v>-178.4</v>
      </c>
      <c r="L9" s="2">
        <v>-0.9</v>
      </c>
      <c r="M9" s="2"/>
      <c r="N9" s="4">
        <f>L9-H9</f>
        <v>1.2000000000000002</v>
      </c>
      <c r="O9" s="4">
        <v>1.2000000000000002</v>
      </c>
    </row>
    <row r="10" spans="1:19" ht="15" customHeight="1">
      <c r="A10" s="2" t="s">
        <v>32</v>
      </c>
      <c r="B10" s="3" t="s">
        <v>33</v>
      </c>
      <c r="C10" s="2"/>
      <c r="D10" s="3" t="s">
        <v>10</v>
      </c>
      <c r="E10" s="3" t="s">
        <v>11</v>
      </c>
      <c r="F10" s="2">
        <v>-213.3</v>
      </c>
      <c r="G10" s="2">
        <v>-213.5</v>
      </c>
      <c r="H10" s="2">
        <v>0.1</v>
      </c>
      <c r="I10" s="2"/>
      <c r="J10" s="2">
        <v>-195.6</v>
      </c>
      <c r="K10" s="2">
        <v>-196.9</v>
      </c>
      <c r="L10" s="2">
        <v>1.3</v>
      </c>
      <c r="M10" s="2"/>
      <c r="N10" s="4">
        <f>L10-H10</f>
        <v>1.2</v>
      </c>
      <c r="O10" s="4">
        <v>1.2</v>
      </c>
    </row>
    <row r="11" spans="1:19" ht="15" customHeight="1">
      <c r="A11" s="2" t="s">
        <v>16</v>
      </c>
      <c r="B11" s="3" t="s">
        <v>17</v>
      </c>
      <c r="C11" s="2"/>
      <c r="D11" s="3" t="s">
        <v>10</v>
      </c>
      <c r="E11" s="3" t="s">
        <v>11</v>
      </c>
      <c r="F11" s="2">
        <v>-122.7</v>
      </c>
      <c r="G11" s="2">
        <v>-127.6</v>
      </c>
      <c r="H11" s="2">
        <v>4.9000000000000004</v>
      </c>
      <c r="I11" s="2"/>
      <c r="J11" s="2">
        <v>-124.2</v>
      </c>
      <c r="K11" s="2">
        <v>-130.1</v>
      </c>
      <c r="L11" s="2">
        <v>5.9</v>
      </c>
      <c r="M11" s="2"/>
      <c r="N11" s="4">
        <f>L11-H11</f>
        <v>1</v>
      </c>
      <c r="O11" s="4">
        <v>1</v>
      </c>
    </row>
    <row r="12" spans="1:19" ht="15" customHeight="1">
      <c r="A12" s="2" t="s">
        <v>54</v>
      </c>
      <c r="B12" s="3" t="s">
        <v>55</v>
      </c>
      <c r="C12" s="2"/>
      <c r="D12" s="3" t="s">
        <v>10</v>
      </c>
      <c r="E12" s="3" t="s">
        <v>11</v>
      </c>
      <c r="F12" s="2">
        <v>-124.7</v>
      </c>
      <c r="G12" s="2">
        <v>-121.8</v>
      </c>
      <c r="H12" s="2">
        <v>-2.9</v>
      </c>
      <c r="I12" s="2"/>
      <c r="J12" s="2">
        <v>-108.1</v>
      </c>
      <c r="K12" s="2">
        <v>-106</v>
      </c>
      <c r="L12" s="2">
        <v>-2.1</v>
      </c>
      <c r="M12" s="2"/>
      <c r="N12" s="4">
        <f>L12-H12</f>
        <v>0.79999999999999982</v>
      </c>
      <c r="O12" s="4">
        <v>0.79999999999999982</v>
      </c>
    </row>
    <row r="13" spans="1:19" ht="15" customHeight="1">
      <c r="A13" s="2" t="s">
        <v>14</v>
      </c>
      <c r="B13" s="3" t="s">
        <v>15</v>
      </c>
      <c r="C13" s="2"/>
      <c r="D13" s="3" t="s">
        <v>10</v>
      </c>
      <c r="E13" s="3" t="s">
        <v>11</v>
      </c>
      <c r="F13" s="2">
        <v>-129.9</v>
      </c>
      <c r="G13" s="2">
        <v>-137.6</v>
      </c>
      <c r="H13" s="2">
        <v>7.7</v>
      </c>
      <c r="I13" s="2"/>
      <c r="J13" s="2">
        <v>-119.9</v>
      </c>
      <c r="K13" s="2">
        <v>-128.19999999999999</v>
      </c>
      <c r="L13" s="2">
        <v>8.3000000000000007</v>
      </c>
      <c r="M13" s="2"/>
      <c r="N13" s="4">
        <f>L13-H13</f>
        <v>0.60000000000000053</v>
      </c>
      <c r="O13" s="4">
        <v>0.60000000000000053</v>
      </c>
    </row>
    <row r="14" spans="1:19" ht="15" customHeight="1">
      <c r="A14" s="2" t="s">
        <v>72</v>
      </c>
      <c r="B14" s="3" t="s">
        <v>73</v>
      </c>
      <c r="C14" s="2"/>
      <c r="D14" s="3" t="s">
        <v>10</v>
      </c>
      <c r="E14" s="3" t="s">
        <v>11</v>
      </c>
      <c r="F14" s="2">
        <v>-264</v>
      </c>
      <c r="G14" s="2">
        <v>-256.10000000000002</v>
      </c>
      <c r="H14" s="2">
        <v>-7.9</v>
      </c>
      <c r="I14" s="2"/>
      <c r="J14" s="2">
        <v>-250.7</v>
      </c>
      <c r="K14" s="2">
        <v>-243.2</v>
      </c>
      <c r="L14" s="2">
        <v>-7.5</v>
      </c>
      <c r="M14" s="2"/>
      <c r="N14" s="4">
        <f>L14-H14</f>
        <v>0.40000000000000036</v>
      </c>
      <c r="O14" s="4">
        <v>0.40000000000000036</v>
      </c>
    </row>
    <row r="15" spans="1:19" ht="15" customHeight="1">
      <c r="A15" s="2" t="s">
        <v>84</v>
      </c>
      <c r="B15" s="3" t="s">
        <v>85</v>
      </c>
      <c r="C15" s="2"/>
      <c r="D15" s="3" t="s">
        <v>10</v>
      </c>
      <c r="E15" s="3" t="s">
        <v>11</v>
      </c>
      <c r="F15" s="2">
        <v>-144.1</v>
      </c>
      <c r="G15" s="2">
        <v>-134.19999999999999</v>
      </c>
      <c r="H15" s="2">
        <v>-9.9</v>
      </c>
      <c r="I15" s="2"/>
      <c r="J15" s="2">
        <v>-142.6</v>
      </c>
      <c r="K15" s="2">
        <v>-133.1</v>
      </c>
      <c r="L15" s="2">
        <v>-9.5</v>
      </c>
      <c r="M15" s="2"/>
      <c r="N15" s="4">
        <f>L15-H15</f>
        <v>0.40000000000000036</v>
      </c>
      <c r="O15" s="4">
        <v>0.40000000000000036</v>
      </c>
    </row>
    <row r="16" spans="1:19" ht="15" customHeight="1">
      <c r="A16" s="2" t="s">
        <v>88</v>
      </c>
      <c r="B16" s="3" t="s">
        <v>89</v>
      </c>
      <c r="C16" s="2"/>
      <c r="D16" s="3" t="s">
        <v>10</v>
      </c>
      <c r="E16" s="3" t="s">
        <v>11</v>
      </c>
      <c r="F16" s="2">
        <v>-259.10000000000002</v>
      </c>
      <c r="G16" s="2">
        <v>-244.8</v>
      </c>
      <c r="H16" s="2">
        <v>-14.3</v>
      </c>
      <c r="I16" s="2"/>
      <c r="J16" s="2">
        <v>-244.7</v>
      </c>
      <c r="K16" s="2">
        <v>-230</v>
      </c>
      <c r="L16" s="2">
        <v>-14.7</v>
      </c>
      <c r="M16" s="2"/>
      <c r="N16" s="4">
        <f>L16-H16</f>
        <v>-0.39999999999999858</v>
      </c>
      <c r="O16" s="4">
        <v>-0.39999999999999858</v>
      </c>
    </row>
    <row r="17" spans="1:15" ht="15" customHeight="1">
      <c r="A17" s="2" t="s">
        <v>8</v>
      </c>
      <c r="B17" s="3" t="s">
        <v>9</v>
      </c>
      <c r="C17" s="2"/>
      <c r="D17" s="3" t="s">
        <v>10</v>
      </c>
      <c r="E17" s="3" t="s">
        <v>11</v>
      </c>
      <c r="F17" s="2">
        <v>-318.5</v>
      </c>
      <c r="G17" s="2">
        <v>-332</v>
      </c>
      <c r="H17" s="2">
        <v>13.5</v>
      </c>
      <c r="I17" s="2"/>
      <c r="J17" s="2">
        <v>-322.5</v>
      </c>
      <c r="K17" s="2">
        <v>-335.4</v>
      </c>
      <c r="L17" s="2">
        <v>12.8</v>
      </c>
      <c r="M17" s="2"/>
      <c r="N17" s="4">
        <f>L17-H17</f>
        <v>-0.69999999999999929</v>
      </c>
      <c r="O17" s="4">
        <v>-0.69999999999999929</v>
      </c>
    </row>
    <row r="18" spans="1:15" ht="15" customHeight="1">
      <c r="A18" s="2" t="s">
        <v>66</v>
      </c>
      <c r="B18" s="3" t="s">
        <v>67</v>
      </c>
      <c r="C18" s="2"/>
      <c r="D18" s="3" t="s">
        <v>10</v>
      </c>
      <c r="E18" s="3" t="s">
        <v>11</v>
      </c>
      <c r="F18" s="2">
        <v>-184.6</v>
      </c>
      <c r="G18" s="2">
        <v>-180.1</v>
      </c>
      <c r="H18" s="2">
        <v>-4.5</v>
      </c>
      <c r="I18" s="2"/>
      <c r="J18" s="2">
        <v>-172.2</v>
      </c>
      <c r="K18" s="2">
        <v>-166.8</v>
      </c>
      <c r="L18" s="2">
        <v>-5.4</v>
      </c>
      <c r="M18" s="2"/>
      <c r="N18" s="4">
        <f>L18-H18</f>
        <v>-0.90000000000000036</v>
      </c>
      <c r="O18" s="4">
        <v>-0.90000000000000036</v>
      </c>
    </row>
    <row r="19" spans="1:15" ht="15" customHeight="1">
      <c r="A19" s="2" t="s">
        <v>52</v>
      </c>
      <c r="B19" s="3" t="s">
        <v>53</v>
      </c>
      <c r="C19" s="2"/>
      <c r="D19" s="3" t="s">
        <v>10</v>
      </c>
      <c r="E19" s="3" t="s">
        <v>11</v>
      </c>
      <c r="F19" s="2">
        <v>-198</v>
      </c>
      <c r="G19" s="2">
        <v>-198</v>
      </c>
      <c r="H19" s="2">
        <v>0</v>
      </c>
      <c r="I19" s="2"/>
      <c r="J19" s="2">
        <v>-185.2</v>
      </c>
      <c r="K19" s="2">
        <v>-184.3</v>
      </c>
      <c r="L19" s="2">
        <v>-1</v>
      </c>
      <c r="M19" s="2"/>
      <c r="N19" s="4">
        <f>L19-H19</f>
        <v>-1</v>
      </c>
      <c r="O19" s="4">
        <v>-1</v>
      </c>
    </row>
    <row r="20" spans="1:15" ht="15" customHeight="1">
      <c r="A20" s="2" t="s">
        <v>38</v>
      </c>
      <c r="B20" s="3" t="s">
        <v>39</v>
      </c>
      <c r="C20" s="2"/>
      <c r="D20" s="3" t="s">
        <v>10</v>
      </c>
      <c r="E20" s="3" t="s">
        <v>11</v>
      </c>
      <c r="F20" s="2">
        <v>-116.8</v>
      </c>
      <c r="G20" s="2">
        <v>-119.1</v>
      </c>
      <c r="H20" s="2">
        <v>2.2999999999999998</v>
      </c>
      <c r="I20" s="2"/>
      <c r="J20" s="2">
        <v>-112.4</v>
      </c>
      <c r="K20" s="2">
        <v>-113.4</v>
      </c>
      <c r="L20" s="2">
        <v>1</v>
      </c>
      <c r="M20" s="2"/>
      <c r="N20" s="4">
        <f>L20-H20</f>
        <v>-1.2999999999999998</v>
      </c>
      <c r="O20" s="4">
        <v>-1.2999999999999998</v>
      </c>
    </row>
    <row r="21" spans="1:15" ht="15" customHeight="1">
      <c r="A21" s="2" t="s">
        <v>48</v>
      </c>
      <c r="B21" s="3" t="s">
        <v>49</v>
      </c>
      <c r="C21" s="2"/>
      <c r="D21" s="3" t="s">
        <v>10</v>
      </c>
      <c r="E21" s="3" t="s">
        <v>11</v>
      </c>
      <c r="F21" s="2">
        <v>-54.9</v>
      </c>
      <c r="G21" s="2">
        <v>-55.4</v>
      </c>
      <c r="H21" s="2">
        <v>0.5</v>
      </c>
      <c r="I21" s="2"/>
      <c r="J21" s="2">
        <v>-48.1</v>
      </c>
      <c r="K21" s="2">
        <v>-47.2</v>
      </c>
      <c r="L21" s="2">
        <v>-0.9</v>
      </c>
      <c r="M21" s="2"/>
      <c r="N21" s="4">
        <f>L21-H21</f>
        <v>-1.4</v>
      </c>
      <c r="O21" s="4">
        <v>-1.4</v>
      </c>
    </row>
    <row r="22" spans="1:15" ht="15" customHeight="1">
      <c r="A22" s="2" t="s">
        <v>26</v>
      </c>
      <c r="B22" s="3" t="s">
        <v>27</v>
      </c>
      <c r="C22" s="2"/>
      <c r="D22" s="3" t="s">
        <v>10</v>
      </c>
      <c r="E22" s="3" t="s">
        <v>11</v>
      </c>
      <c r="F22" s="2">
        <v>-125.1</v>
      </c>
      <c r="G22" s="2">
        <v>-129.4</v>
      </c>
      <c r="H22" s="2">
        <v>4.3</v>
      </c>
      <c r="I22" s="2"/>
      <c r="J22" s="2">
        <v>-124.3</v>
      </c>
      <c r="K22" s="2">
        <v>-126.9</v>
      </c>
      <c r="L22" s="2">
        <v>2.6</v>
      </c>
      <c r="M22" s="2"/>
      <c r="N22" s="4">
        <f>L22-H22</f>
        <v>-1.6999999999999997</v>
      </c>
      <c r="O22" s="4">
        <v>-1.6999999999999997</v>
      </c>
    </row>
    <row r="23" spans="1:15" ht="15" customHeight="1">
      <c r="A23" s="2" t="s">
        <v>18</v>
      </c>
      <c r="B23" s="3" t="s">
        <v>19</v>
      </c>
      <c r="C23" s="2"/>
      <c r="D23" s="3" t="s">
        <v>10</v>
      </c>
      <c r="E23" s="3" t="s">
        <v>11</v>
      </c>
      <c r="F23" s="2">
        <v>-293.3</v>
      </c>
      <c r="G23" s="2">
        <v>-301.39999999999998</v>
      </c>
      <c r="H23" s="2">
        <v>8.1</v>
      </c>
      <c r="I23" s="2"/>
      <c r="J23" s="2">
        <v>-286.8</v>
      </c>
      <c r="K23" s="2">
        <v>-292.7</v>
      </c>
      <c r="L23" s="2">
        <v>5.8</v>
      </c>
      <c r="M23" s="2"/>
      <c r="N23" s="4">
        <f>L23-H23</f>
        <v>-2.2999999999999998</v>
      </c>
      <c r="O23" s="4">
        <v>-2.2999999999999998</v>
      </c>
    </row>
    <row r="24" spans="1:15" ht="15" customHeight="1">
      <c r="A24" s="2" t="s">
        <v>42</v>
      </c>
      <c r="B24" s="3" t="s">
        <v>43</v>
      </c>
      <c r="C24" s="2"/>
      <c r="D24" s="3" t="s">
        <v>10</v>
      </c>
      <c r="E24" s="3" t="s">
        <v>11</v>
      </c>
      <c r="F24" s="2">
        <v>-158.4</v>
      </c>
      <c r="G24" s="2">
        <v>-160.6</v>
      </c>
      <c r="H24" s="2">
        <v>2.2000000000000002</v>
      </c>
      <c r="I24" s="2"/>
      <c r="J24" s="2">
        <v>-157.4</v>
      </c>
      <c r="K24" s="2">
        <v>-157.19999999999999</v>
      </c>
      <c r="L24" s="2">
        <v>-0.3</v>
      </c>
      <c r="M24" s="2"/>
      <c r="N24" s="4">
        <f>L24-H24</f>
        <v>-2.5</v>
      </c>
      <c r="O24" s="4">
        <v>-2.5</v>
      </c>
    </row>
    <row r="25" spans="1:15" ht="15" customHeight="1">
      <c r="A25" s="2" t="s">
        <v>62</v>
      </c>
      <c r="B25" s="3" t="s">
        <v>63</v>
      </c>
      <c r="C25" s="2"/>
      <c r="D25" s="3" t="s">
        <v>10</v>
      </c>
      <c r="E25" s="3" t="s">
        <v>11</v>
      </c>
      <c r="F25" s="2">
        <v>-188.7</v>
      </c>
      <c r="G25" s="2">
        <v>-186.9</v>
      </c>
      <c r="H25" s="2">
        <v>-1.9</v>
      </c>
      <c r="I25" s="2"/>
      <c r="J25" s="2">
        <v>-186</v>
      </c>
      <c r="K25" s="2">
        <v>-181.6</v>
      </c>
      <c r="L25" s="2">
        <v>-4.5</v>
      </c>
      <c r="M25" s="2"/>
      <c r="N25" s="4">
        <f>L25-H25</f>
        <v>-2.6</v>
      </c>
      <c r="O25" s="4">
        <v>-2.6</v>
      </c>
    </row>
    <row r="26" spans="1:15" ht="15" customHeight="1">
      <c r="A26" s="2" t="s">
        <v>34</v>
      </c>
      <c r="B26" s="3" t="s">
        <v>35</v>
      </c>
      <c r="C26" s="2"/>
      <c r="D26" s="3" t="s">
        <v>10</v>
      </c>
      <c r="E26" s="3" t="s">
        <v>11</v>
      </c>
      <c r="F26" s="2">
        <v>-271.2</v>
      </c>
      <c r="G26" s="2">
        <v>-275.5</v>
      </c>
      <c r="H26" s="2">
        <v>4.2</v>
      </c>
      <c r="I26" s="2"/>
      <c r="J26" s="2">
        <v>-271.2</v>
      </c>
      <c r="K26" s="2">
        <v>-272.3</v>
      </c>
      <c r="L26" s="2">
        <v>1.1000000000000001</v>
      </c>
      <c r="M26" s="2"/>
      <c r="N26" s="4">
        <f>L26-H26</f>
        <v>-3.1</v>
      </c>
      <c r="O26" s="4">
        <v>-3.1</v>
      </c>
    </row>
    <row r="27" spans="1:15" ht="15" customHeight="1">
      <c r="A27" s="2" t="s">
        <v>68</v>
      </c>
      <c r="B27" s="3" t="s">
        <v>69</v>
      </c>
      <c r="C27" s="2"/>
      <c r="D27" s="3" t="s">
        <v>10</v>
      </c>
      <c r="E27" s="3" t="s">
        <v>11</v>
      </c>
      <c r="F27" s="2">
        <v>-291.60000000000002</v>
      </c>
      <c r="G27" s="2">
        <v>-288.60000000000002</v>
      </c>
      <c r="H27" s="2">
        <v>-3.1</v>
      </c>
      <c r="I27" s="2"/>
      <c r="J27" s="2">
        <v>-285.5</v>
      </c>
      <c r="K27" s="2">
        <v>-279.10000000000002</v>
      </c>
      <c r="L27" s="2">
        <v>-6.5</v>
      </c>
      <c r="M27" s="2"/>
      <c r="N27" s="4">
        <f>L27-H27</f>
        <v>-3.4</v>
      </c>
      <c r="O27" s="4">
        <v>-3.4</v>
      </c>
    </row>
    <row r="28" spans="1:15" ht="15" customHeight="1">
      <c r="A28" s="2" t="s">
        <v>36</v>
      </c>
      <c r="B28" s="3" t="s">
        <v>37</v>
      </c>
      <c r="C28" s="2"/>
      <c r="D28" s="3" t="s">
        <v>10</v>
      </c>
      <c r="E28" s="3" t="s">
        <v>11</v>
      </c>
      <c r="F28" s="2">
        <v>-410.8</v>
      </c>
      <c r="G28" s="2">
        <v>-415.6</v>
      </c>
      <c r="H28" s="2">
        <v>4.8</v>
      </c>
      <c r="I28" s="2"/>
      <c r="J28" s="2">
        <v>-380.1</v>
      </c>
      <c r="K28" s="2">
        <v>-381.2</v>
      </c>
      <c r="L28" s="2">
        <v>1.1000000000000001</v>
      </c>
      <c r="M28" s="2"/>
      <c r="N28" s="4">
        <f>L28-H28</f>
        <v>-3.6999999999999997</v>
      </c>
      <c r="O28" s="4">
        <v>-3.6999999999999997</v>
      </c>
    </row>
    <row r="29" spans="1:15" ht="15" customHeight="1">
      <c r="A29" s="2" t="s">
        <v>46</v>
      </c>
      <c r="B29" s="3" t="s">
        <v>47</v>
      </c>
      <c r="C29" s="2"/>
      <c r="D29" s="3" t="s">
        <v>10</v>
      </c>
      <c r="E29" s="3" t="s">
        <v>11</v>
      </c>
      <c r="F29" s="2">
        <v>-299.7</v>
      </c>
      <c r="G29" s="2">
        <v>-302.8</v>
      </c>
      <c r="H29" s="2">
        <v>3.1</v>
      </c>
      <c r="I29" s="2"/>
      <c r="J29" s="2">
        <v>-300.7</v>
      </c>
      <c r="K29" s="2">
        <v>-299.89999999999998</v>
      </c>
      <c r="L29" s="2">
        <v>-0.8</v>
      </c>
      <c r="M29" s="2"/>
      <c r="N29" s="4">
        <f>L29-H29</f>
        <v>-3.9000000000000004</v>
      </c>
      <c r="O29" s="4">
        <v>-3.9000000000000004</v>
      </c>
    </row>
    <row r="30" spans="1:15" ht="15" customHeight="1">
      <c r="A30" s="2" t="s">
        <v>76</v>
      </c>
      <c r="B30" s="3" t="s">
        <v>77</v>
      </c>
      <c r="C30" s="2"/>
      <c r="D30" s="3" t="s">
        <v>10</v>
      </c>
      <c r="E30" s="3" t="s">
        <v>11</v>
      </c>
      <c r="F30" s="2">
        <v>-178.6</v>
      </c>
      <c r="G30" s="2">
        <v>-174</v>
      </c>
      <c r="H30" s="2">
        <v>-4.5</v>
      </c>
      <c r="I30" s="2"/>
      <c r="J30" s="2">
        <v>-181</v>
      </c>
      <c r="K30" s="2">
        <v>-172.5</v>
      </c>
      <c r="L30" s="2">
        <v>-8.5</v>
      </c>
      <c r="M30" s="2"/>
      <c r="N30" s="4">
        <f>L30-H30</f>
        <v>-4</v>
      </c>
      <c r="O30" s="4">
        <v>-4</v>
      </c>
    </row>
    <row r="31" spans="1:15" ht="15" customHeight="1">
      <c r="A31" s="2" t="s">
        <v>20</v>
      </c>
      <c r="B31" s="3" t="s">
        <v>21</v>
      </c>
      <c r="C31" s="2"/>
      <c r="D31" s="3" t="s">
        <v>10</v>
      </c>
      <c r="E31" s="3" t="s">
        <v>11</v>
      </c>
      <c r="F31" s="2">
        <v>-521.4</v>
      </c>
      <c r="G31" s="2">
        <v>-531.4</v>
      </c>
      <c r="H31" s="2">
        <v>10</v>
      </c>
      <c r="I31" s="2"/>
      <c r="J31" s="2">
        <v>-465.8</v>
      </c>
      <c r="K31" s="2">
        <v>-471</v>
      </c>
      <c r="L31" s="2">
        <v>5.2</v>
      </c>
      <c r="M31" s="2"/>
      <c r="N31" s="4">
        <f>L31-H31</f>
        <v>-4.8</v>
      </c>
      <c r="O31" s="4">
        <v>-4.8</v>
      </c>
    </row>
    <row r="32" spans="1:15" ht="15" customHeight="1">
      <c r="A32" s="2" t="s">
        <v>64</v>
      </c>
      <c r="B32" s="3" t="s">
        <v>65</v>
      </c>
      <c r="C32" s="2"/>
      <c r="D32" s="3" t="s">
        <v>10</v>
      </c>
      <c r="E32" s="3" t="s">
        <v>11</v>
      </c>
      <c r="F32" s="2">
        <v>-265.8</v>
      </c>
      <c r="G32" s="2">
        <v>-266.10000000000002</v>
      </c>
      <c r="H32" s="2">
        <v>0.3</v>
      </c>
      <c r="I32" s="2"/>
      <c r="J32" s="2">
        <v>-261.89999999999998</v>
      </c>
      <c r="K32" s="2">
        <v>-257.10000000000002</v>
      </c>
      <c r="L32" s="2">
        <v>-4.8</v>
      </c>
      <c r="M32" s="2"/>
      <c r="N32" s="4">
        <f>L32-H32</f>
        <v>-5.0999999999999996</v>
      </c>
      <c r="O32" s="4">
        <v>-5.0999999999999996</v>
      </c>
    </row>
    <row r="33" spans="1:15" ht="15" customHeight="1">
      <c r="A33" s="2" t="s">
        <v>86</v>
      </c>
      <c r="B33" s="3" t="s">
        <v>87</v>
      </c>
      <c r="C33" s="2"/>
      <c r="D33" s="3" t="s">
        <v>10</v>
      </c>
      <c r="E33" s="3" t="s">
        <v>11</v>
      </c>
      <c r="F33" s="2">
        <v>-388.8</v>
      </c>
      <c r="G33" s="2">
        <v>-383.3</v>
      </c>
      <c r="H33" s="2">
        <v>-5.5</v>
      </c>
      <c r="I33" s="2"/>
      <c r="J33" s="2">
        <v>-354.2</v>
      </c>
      <c r="K33" s="2">
        <v>-343</v>
      </c>
      <c r="L33" s="2">
        <v>-11.2</v>
      </c>
      <c r="M33" s="2"/>
      <c r="N33" s="4">
        <f>L33-H33</f>
        <v>-5.6999999999999993</v>
      </c>
      <c r="O33" s="4">
        <v>-5.6999999999999993</v>
      </c>
    </row>
    <row r="34" spans="1:15" ht="15" customHeight="1">
      <c r="A34" s="2" t="s">
        <v>60</v>
      </c>
      <c r="B34" s="3" t="s">
        <v>61</v>
      </c>
      <c r="C34" s="2"/>
      <c r="D34" s="3" t="s">
        <v>10</v>
      </c>
      <c r="E34" s="3" t="s">
        <v>11</v>
      </c>
      <c r="F34" s="2">
        <v>-336.1</v>
      </c>
      <c r="G34" s="2">
        <v>-337.8</v>
      </c>
      <c r="H34" s="2">
        <v>1.7</v>
      </c>
      <c r="I34" s="2"/>
      <c r="J34" s="2">
        <v>-331.1</v>
      </c>
      <c r="K34" s="2">
        <v>-327.10000000000002</v>
      </c>
      <c r="L34" s="2">
        <v>-4.0999999999999996</v>
      </c>
      <c r="M34" s="2"/>
      <c r="N34" s="4">
        <f>L34-H34</f>
        <v>-5.8</v>
      </c>
      <c r="O34" s="4">
        <v>-5.8</v>
      </c>
    </row>
    <row r="35" spans="1:15" ht="15" customHeight="1">
      <c r="A35" s="2" t="s">
        <v>58</v>
      </c>
      <c r="B35" s="3" t="s">
        <v>59</v>
      </c>
      <c r="C35" s="2"/>
      <c r="D35" s="3" t="s">
        <v>10</v>
      </c>
      <c r="E35" s="3" t="s">
        <v>11</v>
      </c>
      <c r="F35" s="2">
        <v>-262.10000000000002</v>
      </c>
      <c r="G35" s="2">
        <v>-264</v>
      </c>
      <c r="H35" s="2">
        <v>1.9</v>
      </c>
      <c r="I35" s="2"/>
      <c r="J35" s="2">
        <v>-255.2</v>
      </c>
      <c r="K35" s="2">
        <v>-251.2</v>
      </c>
      <c r="L35" s="2">
        <v>-4</v>
      </c>
      <c r="M35" s="2"/>
      <c r="N35" s="4">
        <f>L35-H35</f>
        <v>-5.9</v>
      </c>
      <c r="O35" s="4">
        <v>-5.9</v>
      </c>
    </row>
    <row r="36" spans="1:15" ht="15" customHeight="1">
      <c r="A36" s="2" t="s">
        <v>82</v>
      </c>
      <c r="B36" s="3" t="s">
        <v>83</v>
      </c>
      <c r="C36" s="2"/>
      <c r="D36" s="3" t="s">
        <v>10</v>
      </c>
      <c r="E36" s="3" t="s">
        <v>11</v>
      </c>
      <c r="F36" s="2">
        <v>-381.1</v>
      </c>
      <c r="G36" s="2">
        <v>-378.4</v>
      </c>
      <c r="H36" s="2">
        <v>-2.7</v>
      </c>
      <c r="I36" s="2"/>
      <c r="J36" s="2">
        <v>-375.9</v>
      </c>
      <c r="K36" s="2">
        <v>-366.5</v>
      </c>
      <c r="L36" s="2">
        <v>-9.4</v>
      </c>
      <c r="M36" s="2"/>
      <c r="N36" s="4">
        <f>L36-H36</f>
        <v>-6.7</v>
      </c>
      <c r="O36" s="4">
        <v>-6.7</v>
      </c>
    </row>
    <row r="37" spans="1:15" ht="15" customHeight="1">
      <c r="A37" s="2" t="s">
        <v>56</v>
      </c>
      <c r="B37" s="3" t="s">
        <v>57</v>
      </c>
      <c r="C37" s="2"/>
      <c r="D37" s="3" t="s">
        <v>10</v>
      </c>
      <c r="E37" s="3" t="s">
        <v>11</v>
      </c>
      <c r="F37" s="2">
        <v>-168.1</v>
      </c>
      <c r="G37" s="2">
        <v>-173.1</v>
      </c>
      <c r="H37" s="2">
        <v>5.0999999999999996</v>
      </c>
      <c r="I37" s="2"/>
      <c r="J37" s="2">
        <v>-148.69999999999999</v>
      </c>
      <c r="K37" s="2">
        <v>-145.69999999999999</v>
      </c>
      <c r="L37" s="2">
        <v>-3</v>
      </c>
      <c r="M37" s="2"/>
      <c r="N37" s="4">
        <f>L37-H37</f>
        <v>-8.1</v>
      </c>
      <c r="O37" s="4">
        <v>-8.1</v>
      </c>
    </row>
    <row r="38" spans="1:15" ht="15" customHeight="1">
      <c r="A38" s="2" t="s">
        <v>74</v>
      </c>
      <c r="B38" s="3" t="s">
        <v>75</v>
      </c>
      <c r="C38" s="2"/>
      <c r="D38" s="3" t="s">
        <v>10</v>
      </c>
      <c r="E38" s="3" t="s">
        <v>11</v>
      </c>
      <c r="F38" s="2">
        <v>-223.7</v>
      </c>
      <c r="G38" s="2">
        <v>-224.8</v>
      </c>
      <c r="H38" s="2">
        <v>1.1000000000000001</v>
      </c>
      <c r="I38" s="2"/>
      <c r="J38" s="2">
        <v>-220.2</v>
      </c>
      <c r="K38" s="2">
        <v>-212.5</v>
      </c>
      <c r="L38" s="2">
        <v>-7.6</v>
      </c>
      <c r="M38" s="2"/>
      <c r="N38" s="4">
        <f>L38-H38</f>
        <v>-8.6999999999999993</v>
      </c>
      <c r="O38" s="4">
        <v>-8.6999999999999993</v>
      </c>
    </row>
    <row r="39" spans="1:15" ht="15" customHeight="1">
      <c r="A39" s="2" t="s">
        <v>40</v>
      </c>
      <c r="B39" s="3" t="s">
        <v>41</v>
      </c>
      <c r="C39" s="2"/>
      <c r="D39" s="3" t="s">
        <v>10</v>
      </c>
      <c r="E39" s="3" t="s">
        <v>11</v>
      </c>
      <c r="F39" s="2">
        <v>-43.9</v>
      </c>
      <c r="G39" s="2">
        <v>-52.9</v>
      </c>
      <c r="H39" s="2">
        <v>9</v>
      </c>
      <c r="I39" s="2"/>
      <c r="J39" s="2">
        <v>-35.200000000000003</v>
      </c>
      <c r="K39" s="2">
        <v>-35.4</v>
      </c>
      <c r="L39" s="2">
        <v>0.2</v>
      </c>
      <c r="M39" s="2"/>
      <c r="N39" s="4">
        <f>L39-H39</f>
        <v>-8.8000000000000007</v>
      </c>
      <c r="O39" s="4">
        <v>-8.8000000000000007</v>
      </c>
    </row>
    <row r="40" spans="1:15" ht="15" customHeight="1">
      <c r="A40" s="2" t="s">
        <v>30</v>
      </c>
      <c r="B40" s="3" t="s">
        <v>31</v>
      </c>
      <c r="C40" s="2"/>
      <c r="D40" s="3" t="s">
        <v>10</v>
      </c>
      <c r="E40" s="3" t="s">
        <v>11</v>
      </c>
      <c r="F40" s="2">
        <v>-250.8</v>
      </c>
      <c r="G40" s="2">
        <v>-261</v>
      </c>
      <c r="H40" s="2">
        <v>10.199999999999999</v>
      </c>
      <c r="I40" s="2"/>
      <c r="J40" s="2">
        <v>-250.9</v>
      </c>
      <c r="K40" s="2">
        <v>-252.2</v>
      </c>
      <c r="L40" s="2">
        <v>1.3</v>
      </c>
      <c r="M40" s="2"/>
      <c r="N40" s="4">
        <f>L40-H40</f>
        <v>-8.8999999999999986</v>
      </c>
      <c r="O40" s="4">
        <v>-8.8999999999999986</v>
      </c>
    </row>
    <row r="41" spans="1:15" ht="15" customHeight="1">
      <c r="A41" s="2" t="s">
        <v>70</v>
      </c>
      <c r="B41" s="3" t="s">
        <v>71</v>
      </c>
      <c r="C41" s="2"/>
      <c r="D41" s="3" t="s">
        <v>10</v>
      </c>
      <c r="E41" s="3" t="s">
        <v>11</v>
      </c>
      <c r="F41" s="2">
        <v>-212.7</v>
      </c>
      <c r="G41" s="2">
        <v>-215.6</v>
      </c>
      <c r="H41" s="2">
        <v>2.9</v>
      </c>
      <c r="I41" s="2"/>
      <c r="J41" s="2">
        <v>-174.3</v>
      </c>
      <c r="K41" s="2">
        <v>-167.8</v>
      </c>
      <c r="L41" s="2">
        <v>-6.5</v>
      </c>
      <c r="M41" s="2"/>
      <c r="N41" s="4">
        <f>L41-H41</f>
        <v>-9.4</v>
      </c>
      <c r="O41" s="4">
        <v>-9.4</v>
      </c>
    </row>
    <row r="42" spans="1:15" ht="15" customHeight="1">
      <c r="A42" s="2" t="s">
        <v>80</v>
      </c>
      <c r="B42" s="3" t="s">
        <v>81</v>
      </c>
      <c r="C42" s="2"/>
      <c r="D42" s="3" t="s">
        <v>10</v>
      </c>
      <c r="E42" s="3" t="s">
        <v>11</v>
      </c>
      <c r="F42" s="2">
        <v>-685.2</v>
      </c>
      <c r="G42" s="2">
        <v>-691.4</v>
      </c>
      <c r="H42" s="2">
        <v>6.2</v>
      </c>
      <c r="I42" s="2"/>
      <c r="J42" s="2">
        <v>-679.3</v>
      </c>
      <c r="K42" s="2">
        <v>-670.1</v>
      </c>
      <c r="L42" s="2">
        <v>-9.1999999999999993</v>
      </c>
      <c r="M42" s="2"/>
      <c r="N42" s="4">
        <f>L42-H42</f>
        <v>-15.399999999999999</v>
      </c>
      <c r="O42" s="4">
        <v>-15.399999999999999</v>
      </c>
    </row>
    <row r="43" spans="1:15" ht="15" customHeight="1">
      <c r="A43" s="2" t="s">
        <v>28</v>
      </c>
      <c r="B43" s="3" t="s">
        <v>29</v>
      </c>
      <c r="C43" s="2"/>
      <c r="D43" s="3" t="s">
        <v>10</v>
      </c>
      <c r="E43" s="3" t="s">
        <v>11</v>
      </c>
      <c r="F43" s="2">
        <v>-234.2</v>
      </c>
      <c r="G43" s="2">
        <v>-252.5</v>
      </c>
      <c r="H43" s="2">
        <v>18.3</v>
      </c>
      <c r="I43" s="2"/>
      <c r="J43" s="2">
        <v>-224.2</v>
      </c>
      <c r="K43" s="2">
        <v>-226.5</v>
      </c>
      <c r="L43" s="2">
        <v>2.2999999999999998</v>
      </c>
      <c r="M43" s="2"/>
      <c r="N43" s="4">
        <f>L43-H43</f>
        <v>-16</v>
      </c>
      <c r="O43" s="4">
        <v>-16</v>
      </c>
    </row>
    <row r="44" spans="1:15" ht="15" customHeight="1">
      <c r="A44" s="2" t="s">
        <v>78</v>
      </c>
      <c r="B44" s="3" t="s">
        <v>79</v>
      </c>
      <c r="C44" s="2"/>
      <c r="D44" s="3" t="s">
        <v>10</v>
      </c>
      <c r="E44" s="3" t="s">
        <v>11</v>
      </c>
      <c r="F44" s="2">
        <v>-716.8</v>
      </c>
      <c r="G44" s="2">
        <v>-724.6</v>
      </c>
      <c r="H44" s="2">
        <v>7.8</v>
      </c>
      <c r="I44" s="2"/>
      <c r="J44" s="2">
        <v>-713</v>
      </c>
      <c r="K44" s="2">
        <v>-703.8</v>
      </c>
      <c r="L44" s="2">
        <v>-9.1</v>
      </c>
      <c r="M44" s="2"/>
      <c r="N44" s="4">
        <f>L44-H44</f>
        <v>-16.899999999999999</v>
      </c>
      <c r="O44" s="4">
        <v>-16.899999999999999</v>
      </c>
    </row>
    <row r="45" spans="1:15" ht="15" customHeight="1">
      <c r="A45" s="2" t="s">
        <v>94</v>
      </c>
      <c r="B45" s="3" t="s">
        <v>95</v>
      </c>
      <c r="C45" s="2"/>
      <c r="D45" s="3" t="s">
        <v>10</v>
      </c>
      <c r="E45" s="3" t="s">
        <v>11</v>
      </c>
      <c r="F45" s="2">
        <v>-392.5</v>
      </c>
      <c r="G45" s="2">
        <v>-370.1</v>
      </c>
      <c r="H45" s="2">
        <v>-22.3</v>
      </c>
      <c r="I45" s="2"/>
      <c r="J45" s="2">
        <v>-378.4</v>
      </c>
      <c r="K45" s="2">
        <v>-336.9</v>
      </c>
      <c r="L45" s="2">
        <v>-41.5</v>
      </c>
      <c r="M45" s="2"/>
      <c r="N45" s="4">
        <f>L45-H45</f>
        <v>-19.2</v>
      </c>
      <c r="O45" s="4">
        <v>-19.2</v>
      </c>
    </row>
    <row r="46" spans="1:15" ht="15" customHeight="1" thickBot="1">
      <c r="A46" s="5" t="s">
        <v>90</v>
      </c>
      <c r="B46" s="6" t="s">
        <v>91</v>
      </c>
      <c r="C46" s="5"/>
      <c r="D46" s="6" t="s">
        <v>10</v>
      </c>
      <c r="E46" s="6" t="s">
        <v>11</v>
      </c>
      <c r="F46" s="5">
        <v>-352.6</v>
      </c>
      <c r="G46" s="5">
        <v>-354</v>
      </c>
      <c r="H46" s="5">
        <v>1.4</v>
      </c>
      <c r="I46" s="5"/>
      <c r="J46" s="5">
        <v>-351.2</v>
      </c>
      <c r="K46" s="5">
        <v>-320.60000000000002</v>
      </c>
      <c r="L46" s="5">
        <v>-30.6</v>
      </c>
      <c r="M46" s="5"/>
      <c r="N46" s="4">
        <f>L46-H46</f>
        <v>-32</v>
      </c>
      <c r="O46" s="4">
        <v>-32</v>
      </c>
    </row>
    <row r="47" spans="1:15" ht="15" customHeight="1" thickTop="1">
      <c r="N47" s="4">
        <f>SQRT(SUMSQ(N4:N40)/36)</f>
        <v>4.3542444171686601</v>
      </c>
      <c r="O47" s="4">
        <f>SQRT(SUMSQ(O4:O46)/41)</f>
        <v>8.4713433726053964</v>
      </c>
    </row>
  </sheetData>
  <sortState ref="A4:N62">
    <sortCondition descending="1" ref="C4:C62"/>
  </sortState>
  <mergeCells count="5">
    <mergeCell ref="H1:H3"/>
    <mergeCell ref="L1:L3"/>
    <mergeCell ref="D2:E2"/>
    <mergeCell ref="N1:N3"/>
    <mergeCell ref="O1:O3"/>
  </mergeCells>
  <hyperlinks>
    <hyperlink ref="B17" r:id="rId1" display="M:\PARAM\HTML Files\data_solids\5-Nitrouracil_dioxane_Jmol.html"/>
    <hyperlink ref="D17" r:id="rId2" display="M:\PARAM\HTML Files\data_solids\5-Nitrouracil_Jmol.html"/>
    <hyperlink ref="E17" r:id="rId3" display="M:\PARAM\HTML Files\data_solids\1_4-Dioxane_Jmol.html"/>
    <hyperlink ref="B6" r:id="rId4" display="M:\PARAM\HTML Files\data_solids\Nevirapine-glutaric_acid_Jmol.html"/>
    <hyperlink ref="D6" r:id="rId5" display="M:\PARAM\HTML Files\data_solids\Nevirapine_Jmol.html"/>
    <hyperlink ref="E6" r:id="rId6" display="M:\PARAM\HTML Files\data_solids\Glutaric_acid_Jmol.html"/>
    <hyperlink ref="B13" r:id="rId7" display="M:\PARAM\HTML Files\data_solids\5-Nitrouracil_piperazine_Jmol.html"/>
    <hyperlink ref="D13" r:id="rId8" display="M:\PARAM\HTML Files\data_solids\5-Nitrouracil_Jmol.html"/>
    <hyperlink ref="E13" r:id="rId9" display="M:\PARAM\HTML Files\data_solids\piperazine_Jmol.html"/>
    <hyperlink ref="B11" r:id="rId10" display="M:\PARAM\HTML Files\data_solids\Nevirapine_1_4-dioxane_Jmol.html"/>
    <hyperlink ref="D11" r:id="rId11" display="M:\PARAM\HTML Files\data_solids\Nevirapine_Jmol.html"/>
    <hyperlink ref="E11" r:id="rId12" display="M:\PARAM\HTML Files\data_solids\1_4-Dioxane_Jmol.html"/>
    <hyperlink ref="B23" r:id="rId13" display="M:\PARAM\HTML Files\data_solids\Malonic_acid_bis_isonicotinamide___ULAWEJ__Jmol.html"/>
    <hyperlink ref="D23" r:id="rId14" display="M:\PARAM\HTML Files\data_solids\Malonic_acid__MALNAC02__Jmol.html"/>
    <hyperlink ref="E23" r:id="rId15" display="M:\PARAM\HTML Files\data_solids\Isonicotinamide__EHOWIH__Jmol.html"/>
    <hyperlink ref="B31" r:id="rId16" display="M:\PARAM\HTML Files\data_solids\Aceclofenac_hemikis_bipyridine__hydrate_Jmol.html"/>
    <hyperlink ref="D31" r:id="rId17" display="M:\PARAM\HTML Files\data_solids\Aceclofenac_Jmol.html"/>
    <hyperlink ref="E31" r:id="rId18" display="M:\PARAM\HTML Files\data_solids\4_4_-Bipyridine_Jmol.html"/>
    <hyperlink ref="B8" r:id="rId19" display="M:\PARAM\HTML Files\data_solids\Aspirin_carbamazepine__TAZRAO__Jmol.html"/>
    <hyperlink ref="D8" r:id="rId20" display="M:\PARAM\HTML Files\data_solids\Aspirin_I__ACSALA01_Jmol.html"/>
    <hyperlink ref="E8" r:id="rId21" display="M:\PARAM\HTML Files\data_solids\Carbamazepine__CBMZPN01__Jmol.html"/>
    <hyperlink ref="B5" r:id="rId22" display="M:\PARAM\HTML Files\data_solids\Nevirapine_hemikis_saccharin__Jmol.html"/>
    <hyperlink ref="D5" r:id="rId23" display="M:\PARAM\HTML Files\data_solids\Nevirapine_Jmol.html"/>
    <hyperlink ref="E5" r:id="rId24" display="M:\PARAM\HTML Files\data_solids\Saccharin_Jmol.html"/>
    <hyperlink ref="B22" r:id="rId25" display="M:\PARAM\HTML Files\data_solids\Carbamazepine_Saccharin_Jmol.html"/>
    <hyperlink ref="D22" r:id="rId26" display="M:\PARAM\HTML Files\data_solids\Carbamazepine__CBMZPN01__Jmol.html"/>
    <hyperlink ref="E22" r:id="rId27" display="M:\PARAM\HTML Files\data_solids\Saccharin_Jmol.html"/>
    <hyperlink ref="B43" r:id="rId28" display="M:\PARAM\HTML Files\data_solids\tris_4_4_-Biphenol__bis_2-aminopyridine___KEXBAR__Jmol.html"/>
    <hyperlink ref="D43" r:id="rId29" display="M:\PARAM\HTML Files\data_solids\4_4_-Biphenol__DOHDPH02__Jmol.html"/>
    <hyperlink ref="E43" r:id="rId30" display="M:\PARAM\HTML Files\data_solids\o-Aminopyridine__AMPYRD__Jmol.html"/>
    <hyperlink ref="B40" r:id="rId31" display="M:\PARAM\HTML Files\data_solids\2-Hydroxybenzamide_4-acetoamidobenzoic_acid_Jmol.html"/>
    <hyperlink ref="D40" r:id="rId32" display="M:\PARAM\HTML Files\data_solids\2-hydroxybenzamide__Salicylamide__Jmol.html"/>
    <hyperlink ref="E40" r:id="rId33" display="M:\PARAM\HTML Files\data_solids\4-Acetamidobenzoic_acid_Jmol.html"/>
    <hyperlink ref="B10" r:id="rId34" display="M:\PARAM\HTML Files\data_solids\Indomethacin_nicotinamide_Jmol.html"/>
    <hyperlink ref="D10" r:id="rId35" display="M:\PARAM\HTML Files\data_solids\Indomethacin_Jmol.html"/>
    <hyperlink ref="E10" r:id="rId36" display="M:\PARAM\HTML Files\data_solids\Nicotinamide__NICOAM01__Jmol.html"/>
    <hyperlink ref="B26" r:id="rId37" display="M:\PARAM\HTML Files\data_solids\4_4_-Bipyridyl-racemic_tartaric_acid_Jmol.html"/>
    <hyperlink ref="D26" r:id="rId38" display="M:\PARAM\HTML Files\data_solids\4_4_-Bipyridine_Jmol.html"/>
    <hyperlink ref="E26" r:id="rId39" display="M:\PARAM\HTML Files\data_solids\Tartaric_acid__TARTAC__Jmol.html"/>
    <hyperlink ref="B28" r:id="rId40" display="M:\PARAM\HTML Files\data_solids\Succinic_acid_bis_urea___VEJXAJ__Jmol.html"/>
    <hyperlink ref="D28" r:id="rId41" display="M:\PARAM\HTML Files\data_solids\Succinic_acid__SUCACB11__Jmol.html"/>
    <hyperlink ref="E28" r:id="rId42" display="M:\PARAM\HTML Files\data_solids\Urea__UREAXX13__Jmol.html"/>
    <hyperlink ref="B20" r:id="rId43" display="M:\PARAM\HTML Files\data_solids\Nevirapine_hemikis_salicylic_acid__Jmol.html"/>
    <hyperlink ref="D20" r:id="rId44" display="M:\PARAM\HTML Files\data_solids\Nevirapine_Jmol.html"/>
    <hyperlink ref="E20" r:id="rId45" display="M:\PARAM\HTML Files\data_solids\Salicylic_acid__SALIAC03__Jmol.html"/>
    <hyperlink ref="B39" r:id="rId46" display="M:\PARAM\HTML Files\data_solids\Nevirapine_hemihydrate_Jmol.html"/>
    <hyperlink ref="D39" r:id="rId47" display="M:\PARAM\HTML Files\data_solids\Nevirapine_Jmol.html"/>
    <hyperlink ref="E39" r:id="rId48" display="M:\PARAM\HTML Files\data_solids\Ice-Ih_Jmol.html"/>
    <hyperlink ref="B24" r:id="rId49" display="M:\PARAM\HTML Files\data_solids\bis_Pyridine__fumaric_acid__GUKWOZ__Jmol.html"/>
    <hyperlink ref="D24" r:id="rId50" display="M:\PARAM\HTML Files\data_solids\Pyridine__PYRDNA03__Jmol.html"/>
    <hyperlink ref="E24" r:id="rId51" display="M:\PARAM\HTML Files\data_solids\Fumaric_acid__FUMAAC__Jmol.html"/>
    <hyperlink ref="B7" r:id="rId52" display="M:\PARAM\HTML Files\data_solids\4-Aminobenzoic_acid_4-nitroaniline__RILJEB__Jmol.html"/>
    <hyperlink ref="D7" r:id="rId53" display="M:\PARAM\HTML Files\data_solids\4-Aminobenzoic_acid__AMBNAC04__Jmol.html"/>
    <hyperlink ref="E7" r:id="rId54" display="M:\PARAM\HTML Files\data_solids\4-Nitroaniline__NANILI22__Jmol.html"/>
    <hyperlink ref="B29" r:id="rId55" display="M:\PARAM\HTML Files\data_solids\Nevirapine_rac-tartaric_acid_Jmol.html"/>
    <hyperlink ref="D29" r:id="rId56" display="M:\PARAM\HTML Files\data_solids\Nevirapine_Jmol.html"/>
    <hyperlink ref="E29" r:id="rId57" display="M:\PARAM\HTML Files\data_solids\Tartaric_acid__TARTAC__Jmol.html"/>
    <hyperlink ref="B21" r:id="rId58" display="M:\PARAM\HTML Files\data_solids\Carbamazepine_isonicotinamide__LOFKIB01__Jmol.html"/>
    <hyperlink ref="D21" r:id="rId59" display="M:\PARAM\HTML Files\data_solids\Carbamazepine__CBMZPN01__Jmol.html"/>
    <hyperlink ref="E21" r:id="rId60" display="M:\PARAM\HTML Files\data_solids\Isonicotinamide__EHOWIH__Jmol.html"/>
    <hyperlink ref="B9" r:id="rId61" display="M:\PARAM\HTML Files\data_solids\Isonicotinamide_3-hydroxybenzoic_acid__LUNMEM__Jmol.html"/>
    <hyperlink ref="D9" r:id="rId62" display="M:\PARAM\HTML Files\data_solids\Isonicotinamide__EHOWIH__Jmol.html"/>
    <hyperlink ref="E9" r:id="rId63" display="M:\PARAM\HTML Files\data_solids\m-hydroxybenzoic_acid__BIDLOP__Jmol.html"/>
    <hyperlink ref="B19" r:id="rId64" display="M:\PARAM\HTML Files\data_solids\5-Nitrouracil_monohydrate_Jmol.html"/>
    <hyperlink ref="D19" r:id="rId65" display="M:\PARAM\HTML Files\data_solids\5-Nitrouracil_Jmol.html"/>
    <hyperlink ref="E19" r:id="rId66" display="M:\PARAM\HTML Files\data_solids\Ice-Ih_Jmol.html"/>
    <hyperlink ref="B12" r:id="rId67" display="M:\PARAM\HTML Files\data_solids\Theophylline_isonicotinamide_Jmol.html"/>
    <hyperlink ref="D12" r:id="rId68" display="M:\PARAM\HTML Files\data_solids\Theophylline_Jmol.html"/>
    <hyperlink ref="E12" r:id="rId69" display="M:\PARAM\HTML Files\data_solids\Isonicotinamide__EHOWIH__Jmol.html"/>
    <hyperlink ref="B37" r:id="rId70" display="M:\PARAM\HTML Files\data_solids\Theophylline_urea_Jmol.html"/>
    <hyperlink ref="D37" r:id="rId71" display="M:\PARAM\HTML Files\data_solids\Theophylline_Jmol.html"/>
    <hyperlink ref="E37" r:id="rId72" display="M:\PARAM\HTML Files\data_solids\Urea__UREAXX13__Jmol.html"/>
    <hyperlink ref="B35" r:id="rId73" display="M:\PARAM\HTML Files\data_solids\Theophylline_aspirin_Jmol.html"/>
    <hyperlink ref="D35" r:id="rId74" display="M:\PARAM\HTML Files\data_solids\Theophylline_Jmol.html"/>
    <hyperlink ref="E35" r:id="rId75" display="M:\PARAM\HTML Files\data_solids\Aspirin_I__ACSALA01_Jmol.html"/>
    <hyperlink ref="B34" r:id="rId76" display="M:\PARAM\HTML Files\data_solids\Fluoxetine_hydrochloride_benzoic_acid_Jmol.html"/>
    <hyperlink ref="D34" r:id="rId77" display="M:\PARAM\HTML Files\data_solids\Fluoxetine_hydrochloride_Jmol.html"/>
    <hyperlink ref="E34" r:id="rId78" display="M:\PARAM\HTML Files\data_solids\Benzoic_acid__BENZAC02__Jmol.html"/>
    <hyperlink ref="B25" r:id="rId79" display="M:\PARAM\HTML Files\data_solids\4-Hydroxybenzoic_acid_isonicotinamide__VAKTOR__Jmol.html"/>
    <hyperlink ref="D25" r:id="rId80" display="M:\PARAM\HTML Files\data_solids\p-Hydroxybenzoic_acid__JOZZIH__Jmol.html"/>
    <hyperlink ref="E25" r:id="rId81" display="M:\PARAM\HTML Files\data_solids\Isonicotinamide__EHOWIH__Jmol.html"/>
    <hyperlink ref="B32" r:id="rId82" display="M:\PARAM\HTML Files\data_solids\Theophylline_phthalic_acid_Jmol.html"/>
    <hyperlink ref="D32" r:id="rId83" display="M:\PARAM\HTML Files\data_solids\Theophylline_Jmol.html"/>
    <hyperlink ref="E32" r:id="rId84" display="M:\PARAM\HTML Files\data_solids\Phthalic_acid__PHTHAC01__Jmol.html"/>
    <hyperlink ref="B18" r:id="rId85" display="M:\PARAM\HTML Files\data_solids\Theophylline_4-aminobenzoic_acid_Jmol.html"/>
    <hyperlink ref="D18" r:id="rId86" display="M:\PARAM\HTML Files\data_solids\Theophylline_Jmol.html"/>
    <hyperlink ref="E18" r:id="rId87" display="M:\PARAM\HTML Files\data_solids\4-Aminobenzoic_acid__AMBNAC04__Jmol.html"/>
    <hyperlink ref="B27" r:id="rId88" display="M:\PARAM\HTML Files\data_solids\Indomethacin_saccharin_Jmol.html"/>
    <hyperlink ref="D27" r:id="rId89" display="M:\PARAM\HTML Files\data_solids\Indomethacin_Jmol.html"/>
    <hyperlink ref="E27" r:id="rId90" display="M:\PARAM\HTML Files\data_solids\Saccharin_Jmol.html"/>
    <hyperlink ref="B41" r:id="rId91" display="M:\PARAM\HTML Files\data_solids\Cyanuric_acid-Melamine__QACSUI__Jmol.html"/>
    <hyperlink ref="D41" r:id="rId92" display="M:\PARAM\HTML Files\data_solids\Cyanuric_acid__CYURAC12__Jmol.html"/>
    <hyperlink ref="E41" r:id="rId93" display="M:\PARAM\HTML Files\data_solids\Melamine__MELAMI07__Jmol.html"/>
    <hyperlink ref="B14" r:id="rId94" display="M:\PARAM\HTML Files\data_solids\Resorcinol_bis_caprolactam___QQQGHM01__Jmol.html"/>
    <hyperlink ref="D14" r:id="rId95" display="M:\PARAM\HTML Files\data_solids\Resorcinol__RESORA03__Jmol.html"/>
    <hyperlink ref="E14" r:id="rId96" display="M:\PARAM\HTML Files\data_solids\Caprolactam__CAPLAC__Jmol.html"/>
    <hyperlink ref="B38" r:id="rId97" display="M:\PARAM\HTML Files\data_solids\Theophylline_salicylic_acid_Jmol.html"/>
    <hyperlink ref="D38" r:id="rId98" display="M:\PARAM\HTML Files\data_solids\Theophylline_Jmol.html"/>
    <hyperlink ref="E38" r:id="rId99" display="M:\PARAM\HTML Files\data_solids\Salicylic_acid__SALIAC03__Jmol.html"/>
    <hyperlink ref="B30" r:id="rId100" display="M:\PARAM\HTML Files\data_solids\Nevirapine-maleic_acid_Jmol.html"/>
    <hyperlink ref="D30" r:id="rId101" display="M:\PARAM\HTML Files\data_solids\Nevirapine_Jmol.html"/>
    <hyperlink ref="E30" r:id="rId102" display="M:\PARAM\HTML Files\data_solids\Maleic_acid__MALIAC11__Jmol.html"/>
    <hyperlink ref="B44" r:id="rId103" display="M:\PARAM\HTML Files\data_solids\Fluoxetine_hydrochloride_succinic_acid_Jmol.html"/>
    <hyperlink ref="D44" r:id="rId104" display="M:\PARAM\HTML Files\data_solids\Fluoxetine_hydrochloride_Jmol.html"/>
    <hyperlink ref="E44" r:id="rId105" display="M:\PARAM\HTML Files\data_solids\Succinic_acid__SUCACB11__Jmol.html"/>
    <hyperlink ref="B42" r:id="rId106" display="M:\PARAM\HTML Files\data_solids\Fluoxetine_hydrochloride_fumaric_acid_Jmol.html"/>
    <hyperlink ref="D42" r:id="rId107" display="M:\PARAM\HTML Files\data_solids\Fluoxetine_hydrochloride_Jmol.html"/>
    <hyperlink ref="E42" r:id="rId108" display="M:\PARAM\HTML Files\data_solids\Fumaric_acid__FUMAAC__Jmol.html"/>
    <hyperlink ref="B36" r:id="rId109" display="M:\PARAM\HTML Files\data_solids\Indomethacin_L-proline_Jmol.html"/>
    <hyperlink ref="D36" r:id="rId110" display="M:\PARAM\HTML Files\data_solids\Indomethacin_Jmol.html"/>
    <hyperlink ref="E36" r:id="rId111" display="M:\PARAM\HTML Files\data_solids\L-proline_Jmol.html"/>
    <hyperlink ref="B15" r:id="rId112" display="M:\PARAM\HTML Files\data_solids\Cinnamic_acid_3-nitrobenzamide__OPUSOI__Jmol.html"/>
    <hyperlink ref="D15" r:id="rId113" display="M:\PARAM\HTML Files\data_solids\Cinnamic_acid__CINMAC06__Jmol.html"/>
    <hyperlink ref="E15" r:id="rId114" display="M:\PARAM\HTML Files\data_solids\3-Nitrobenzamide__JACYOB__Jmol.html"/>
    <hyperlink ref="B33" r:id="rId115" display="M:\PARAM\HTML Files\data_solids\bis_Urea__oxalic_acid__UROXAL01__Jmol.html"/>
    <hyperlink ref="D33" r:id="rId116" display="M:\PARAM\HTML Files\data_solids\Urea__UREAXX13__Jmol.html"/>
    <hyperlink ref="E33" r:id="rId117" display="M:\PARAM\HTML Files\data_solids\Oxalic_acid__OXALAC06__Jmol.html"/>
    <hyperlink ref="B16" r:id="rId118" display="M:\PARAM\HTML Files\data_solids\4_4_-Biphenol_bis_caprolactam___KEWZUI__Jmol.html"/>
    <hyperlink ref="D16" r:id="rId119" display="M:\PARAM\HTML Files\data_solids\4_4_-Biphenol__DOHDPH02__Jmol.html"/>
    <hyperlink ref="E16" r:id="rId120" display="M:\PARAM\HTML Files\data_solids\Caprolactam__CAPLAC__Jmol.html"/>
    <hyperlink ref="B46" r:id="rId121" display="M:\PARAM\HTML Files\data_solids\Oxalic_acid_dihydrate__OXACDH26__Jmol.html"/>
    <hyperlink ref="D46" r:id="rId122" display="M:\PARAM\HTML Files\data_solids\Oxalic_acid__OXALAC06__Jmol.html"/>
    <hyperlink ref="E46" r:id="rId123" display="M:\PARAM\HTML Files\data_solids\Ice-Ih_Jmol.html"/>
    <hyperlink ref="B4" r:id="rId124" display="M:\PARAM\HTML Files\data_solids\Indometacine_caffeine_Jmol.html"/>
    <hyperlink ref="D4" r:id="rId125" display="M:\PARAM\HTML Files\data_solids\Indomethacin_Jmol.html"/>
    <hyperlink ref="E4" r:id="rId126" display="M:\PARAM\HTML Files\data_solids\Caffeine_Jmol.html"/>
    <hyperlink ref="B45" r:id="rId127" display="M:\PARAM\HTML Files\data_solids\Sildenafil_dioxane_Jmol.html"/>
    <hyperlink ref="D45" r:id="rId128" display="M:\PARAM\HTML Files\data_solids\Sildenafil_Jmol.html"/>
    <hyperlink ref="E45" r:id="rId129" display="M:\PARAM\HTML Files\data_solids\1_4-Dioxane_Jmol.html"/>
  </hyperlinks>
  <pageMargins left="0.7" right="0.7" top="0.75" bottom="0.75" header="0.3" footer="0.3"/>
  <pageSetup orientation="portrait" r:id="rId13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2021-02-22T23:45:45Z</dcterms:created>
  <dcterms:modified xsi:type="dcterms:W3CDTF">2021-02-23T00:08:06Z</dcterms:modified>
</cp:coreProperties>
</file>